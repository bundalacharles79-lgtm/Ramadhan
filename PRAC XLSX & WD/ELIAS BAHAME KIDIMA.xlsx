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D9EA50B-DC15-4715-8454-B57D2FC8F790}" xr6:coauthVersionLast="47" xr6:coauthVersionMax="47" xr10:uidLastSave="{00000000-0000-0000-0000-000000000000}"/>
  <bookViews>
    <workbookView xWindow="-108" yWindow="-108" windowWidth="23256" windowHeight="12456" xr2:uid="{F845DADB-1F90-4321-A4CF-57D25D5CD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3" i="1"/>
  <c r="H3" i="1"/>
  <c r="H4" i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<sst xmlns="http://schemas.openxmlformats.org/spreadsheetml/2006/main" count="35" uniqueCount="35">
  <si>
    <t>S/NO</t>
  </si>
  <si>
    <t xml:space="preserve">NAME </t>
  </si>
  <si>
    <t>REG.NUMBER</t>
  </si>
  <si>
    <t>MARKS</t>
  </si>
  <si>
    <t>ELIAS BAHAME KIDIMA</t>
  </si>
  <si>
    <t>DEUS SHIMO NDUNILA</t>
  </si>
  <si>
    <t>MAJIDI ABDALLAH MAJIDI</t>
  </si>
  <si>
    <t>RAMADHAN BUNDALA CHARLES</t>
  </si>
  <si>
    <t>BRIGHTON  M MAAGI</t>
  </si>
  <si>
    <t>EASTC/BDTS/25/02792</t>
  </si>
  <si>
    <t>ACTIVITY 06</t>
  </si>
  <si>
    <t>jenifer john</t>
  </si>
  <si>
    <t>juma ally</t>
  </si>
  <si>
    <t>daud abdallal</t>
  </si>
  <si>
    <t>alli salum</t>
  </si>
  <si>
    <t>ema jisena</t>
  </si>
  <si>
    <t>EASTC/BDTS/25/02793</t>
  </si>
  <si>
    <t>EASTC/BDTS/25/02794</t>
  </si>
  <si>
    <t>EASTC/BDTS/25/02795</t>
  </si>
  <si>
    <t>EASTC/BDTS/25/02796</t>
  </si>
  <si>
    <t>EASTC/BDTS/25/02797</t>
  </si>
  <si>
    <t>EASTC/BDTS/25/02798</t>
  </si>
  <si>
    <t>EASTC/BDTS/25/02799</t>
  </si>
  <si>
    <t>EASTC/BDTS/25/02800</t>
  </si>
  <si>
    <t>EASTC/BDTS/25/02801</t>
  </si>
  <si>
    <t>PERCENTAGE</t>
  </si>
  <si>
    <t>percentage(%)</t>
  </si>
  <si>
    <t>grade</t>
  </si>
  <si>
    <t>D</t>
  </si>
  <si>
    <t>C</t>
  </si>
  <si>
    <t>B</t>
  </si>
  <si>
    <t>A</t>
  </si>
  <si>
    <t>Pysics</t>
  </si>
  <si>
    <t>lad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</si>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</sst>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font>
        <b/>
        <i val="0"/>
        <u val="double"/>
      </font>
    </dxf>
    <dxf>
      <font>
        <b/>
        <i val="0"/>
        <u val="double"/>
      </font>
    </dxf>
    <dxf>
      <font>
        <b/>
        <i val="0"/>
        <u val="doubl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967740</xdr:colOff>
      <xdr:row>17</xdr:row>
      <xdr:rowOff>68580</xdr:rowOff>
    </xdr:from>
    <xdr:to>
      <xdr:col>17</xdr:col>
      <xdr:colOff>411480</xdr:colOff>
      <xdr:row>29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C826B-18E7-FCC5-7E05-DF6C14C48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1460" y="3177540"/>
          <a:ext cx="14737080" cy="2202180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E069-3121-425A-B067-96CF24D229FC}">
  <dimension ref="A1:K25"/>
  <sheetViews>
    <sheetView tabSelected="1" topLeftCell="C15" workbookViewId="0">
      <selection activeCell="F9" sqref="F9"/>
    </sheetView>
  </sheetViews>
  <sheetFormatPr defaultRowHeight="14.4" x14ac:dyDescent="0.3"/>
  <cols>
    <col min="2" max="2" width="36.21875" customWidth="1"/>
    <col min="3" max="3" width="39.109375" customWidth="1"/>
    <col min="5" max="5" width="17" customWidth="1"/>
    <col min="6" max="6" width="21" customWidth="1"/>
    <col min="7" max="7" width="15.44140625" customWidth="1"/>
    <col min="9" max="9" width="41.5546875" customWidth="1"/>
  </cols>
  <sheetData>
    <row r="1" spans="1:11" x14ac:dyDescent="0.3">
      <c r="B1" s="4" t="s">
        <v>10</v>
      </c>
    </row>
    <row r="2" spans="1:11" x14ac:dyDescent="0.3">
      <c r="A2" t="s">
        <v>0</v>
      </c>
      <c r="B2" s="4" t="s">
        <v>1</v>
      </c>
      <c r="C2" s="4" t="s">
        <v>2</v>
      </c>
      <c r="D2" t="s">
        <v>3</v>
      </c>
      <c r="E2" s="4" t="s">
        <v>32</v>
      </c>
      <c r="F2" s="4" t="s">
        <v>33</v>
      </c>
      <c r="G2" s="4" t="s">
        <v>25</v>
      </c>
      <c r="H2" s="4" t="s">
        <v>34</v>
      </c>
      <c r="K2">
        <v>1</v>
      </c>
    </row>
    <row r="3" spans="1:11" x14ac:dyDescent="0.3">
      <c r="A3">
        <v>1</v>
      </c>
      <c r="B3" s="4" t="s">
        <v>4</v>
      </c>
      <c r="C3" s="4" t="s">
        <v>9</v>
      </c>
      <c r="D3" s="4">
        <v>9.5</v>
      </c>
      <c r="E3" s="3">
        <v>0.12</v>
      </c>
      <c r="F3">
        <v>70</v>
      </c>
      <c r="G3" s="3">
        <v>0.92</v>
      </c>
      <c r="H3">
        <f t="shared" ref="H3:H12" si="0">SUM(D3:G3)</f>
        <v>80.540000000000006</v>
      </c>
      <c r="I3" s="5" t="str">
        <f>VLOOKUP(D3,$B$21:$C$24,2,TRUE)</f>
        <v>A</v>
      </c>
      <c r="K3">
        <v>2</v>
      </c>
    </row>
    <row r="4" spans="1:11" x14ac:dyDescent="0.3">
      <c r="A4">
        <v>2</v>
      </c>
      <c r="B4" s="4" t="s">
        <v>5</v>
      </c>
      <c r="C4" s="4" t="s">
        <v>16</v>
      </c>
      <c r="D4" s="4">
        <v>9.5</v>
      </c>
      <c r="E4" s="3">
        <v>0.12</v>
      </c>
      <c r="F4">
        <v>100</v>
      </c>
      <c r="G4" s="3">
        <v>0.87</v>
      </c>
      <c r="H4">
        <f t="shared" si="0"/>
        <v>110.49000000000001</v>
      </c>
      <c r="I4" s="5" t="str">
        <f t="shared" ref="I4:I12" si="1">VLOOKUP(D4,$B$21:$C$24,2,TRUE)</f>
        <v>A</v>
      </c>
      <c r="K4">
        <v>3</v>
      </c>
    </row>
    <row r="5" spans="1:11" x14ac:dyDescent="0.3">
      <c r="A5">
        <v>3</v>
      </c>
      <c r="B5" s="4" t="s">
        <v>6</v>
      </c>
      <c r="C5" s="4" t="s">
        <v>17</v>
      </c>
      <c r="D5" s="4">
        <v>9.5</v>
      </c>
      <c r="E5" s="3">
        <v>0.12</v>
      </c>
      <c r="F5">
        <v>65</v>
      </c>
      <c r="G5" s="3">
        <v>0.7</v>
      </c>
      <c r="H5">
        <f t="shared" si="0"/>
        <v>75.320000000000007</v>
      </c>
      <c r="I5" s="5" t="str">
        <f t="shared" si="1"/>
        <v>A</v>
      </c>
      <c r="K5">
        <v>4</v>
      </c>
    </row>
    <row r="6" spans="1:11" x14ac:dyDescent="0.3">
      <c r="A6">
        <v>4</v>
      </c>
      <c r="B6" s="4" t="s">
        <v>7</v>
      </c>
      <c r="C6" s="4" t="s">
        <v>18</v>
      </c>
      <c r="D6" s="4">
        <v>9.5</v>
      </c>
      <c r="E6" s="3">
        <v>0.12</v>
      </c>
      <c r="F6">
        <v>70</v>
      </c>
      <c r="G6" s="3">
        <v>0.5</v>
      </c>
      <c r="H6">
        <f t="shared" si="0"/>
        <v>80.12</v>
      </c>
      <c r="I6" s="5" t="str">
        <f t="shared" si="1"/>
        <v>A</v>
      </c>
      <c r="K6">
        <v>5</v>
      </c>
    </row>
    <row r="7" spans="1:11" x14ac:dyDescent="0.3">
      <c r="A7">
        <v>5</v>
      </c>
      <c r="B7" s="4" t="s">
        <v>8</v>
      </c>
      <c r="C7" s="4" t="s">
        <v>19</v>
      </c>
      <c r="D7" s="4">
        <v>9.5</v>
      </c>
      <c r="E7" s="3">
        <v>0.12</v>
      </c>
      <c r="F7">
        <v>50</v>
      </c>
      <c r="G7" s="3">
        <v>0.3</v>
      </c>
      <c r="H7">
        <f t="shared" si="0"/>
        <v>59.919999999999995</v>
      </c>
      <c r="I7" s="5" t="str">
        <f t="shared" si="1"/>
        <v>A</v>
      </c>
      <c r="K7">
        <v>6</v>
      </c>
    </row>
    <row r="8" spans="1:11" x14ac:dyDescent="0.3">
      <c r="B8" s="4" t="s">
        <v>11</v>
      </c>
      <c r="C8" s="4" t="s">
        <v>20</v>
      </c>
      <c r="D8" s="4">
        <v>20</v>
      </c>
      <c r="E8" s="3">
        <v>0.12</v>
      </c>
      <c r="F8">
        <v>39</v>
      </c>
      <c r="G8" s="3">
        <v>0.1</v>
      </c>
      <c r="H8">
        <f t="shared" si="0"/>
        <v>59.220000000000006</v>
      </c>
      <c r="I8" s="5" t="str">
        <f t="shared" si="1"/>
        <v>A</v>
      </c>
      <c r="K8">
        <v>7</v>
      </c>
    </row>
    <row r="9" spans="1:11" x14ac:dyDescent="0.3">
      <c r="B9" s="4" t="s">
        <v>12</v>
      </c>
      <c r="C9" s="4" t="s">
        <v>21</v>
      </c>
      <c r="D9" s="4">
        <v>100</v>
      </c>
      <c r="E9" s="3">
        <v>0.12</v>
      </c>
      <c r="F9">
        <v>98</v>
      </c>
      <c r="G9" s="3">
        <v>0.15</v>
      </c>
      <c r="H9">
        <f t="shared" si="0"/>
        <v>198.27</v>
      </c>
      <c r="I9" s="5" t="str">
        <f t="shared" si="1"/>
        <v>A</v>
      </c>
      <c r="K9">
        <v>8</v>
      </c>
    </row>
    <row r="10" spans="1:11" x14ac:dyDescent="0.3">
      <c r="B10" s="4" t="s">
        <v>13</v>
      </c>
      <c r="C10" s="4" t="s">
        <v>22</v>
      </c>
      <c r="D10" s="4">
        <v>29</v>
      </c>
      <c r="E10" s="3">
        <v>0.12</v>
      </c>
      <c r="F10">
        <v>29</v>
      </c>
      <c r="G10" s="3">
        <v>0.78</v>
      </c>
      <c r="H10">
        <f t="shared" si="0"/>
        <v>58.900000000000006</v>
      </c>
      <c r="I10" s="5" t="str">
        <f t="shared" si="1"/>
        <v>A</v>
      </c>
      <c r="K10">
        <v>9</v>
      </c>
    </row>
    <row r="11" spans="1:11" x14ac:dyDescent="0.3">
      <c r="B11" s="4" t="s">
        <v>14</v>
      </c>
      <c r="C11" s="4" t="s">
        <v>23</v>
      </c>
      <c r="D11" s="4">
        <v>70</v>
      </c>
      <c r="E11" s="3">
        <v>0.12</v>
      </c>
      <c r="F11">
        <v>60</v>
      </c>
      <c r="G11" s="3">
        <v>0.12</v>
      </c>
      <c r="H11">
        <f t="shared" si="0"/>
        <v>130.24</v>
      </c>
      <c r="I11" s="5" t="str">
        <f t="shared" si="1"/>
        <v>A</v>
      </c>
      <c r="K11">
        <v>10</v>
      </c>
    </row>
    <row r="12" spans="1:11" x14ac:dyDescent="0.3">
      <c r="B12" s="4" t="s">
        <v>15</v>
      </c>
      <c r="C12" s="4" t="s">
        <v>24</v>
      </c>
      <c r="D12" s="4">
        <v>90</v>
      </c>
      <c r="E12" s="3">
        <v>0.12</v>
      </c>
      <c r="F12">
        <v>12</v>
      </c>
      <c r="G12" s="3">
        <v>0.6</v>
      </c>
      <c r="H12">
        <f t="shared" si="0"/>
        <v>102.72</v>
      </c>
      <c r="I12" s="5" t="str">
        <f t="shared" si="1"/>
        <v>A</v>
      </c>
      <c r="K12">
        <v>11</v>
      </c>
    </row>
    <row r="17" spans="2:3" x14ac:dyDescent="0.3">
      <c r="B17" s="1"/>
    </row>
    <row r="20" spans="2:3" x14ac:dyDescent="0.3">
      <c r="B20" s="6" t="s">
        <v>26</v>
      </c>
      <c r="C20" s="7" t="s">
        <v>27</v>
      </c>
    </row>
    <row r="21" spans="2:3" x14ac:dyDescent="0.3">
      <c r="B21" s="8">
        <v>0.35</v>
      </c>
      <c r="C21" s="8" t="s">
        <v>28</v>
      </c>
    </row>
    <row r="22" spans="2:3" x14ac:dyDescent="0.3">
      <c r="B22" s="8">
        <v>0.65</v>
      </c>
      <c r="C22" s="8" t="s">
        <v>29</v>
      </c>
    </row>
    <row r="23" spans="2:3" x14ac:dyDescent="0.3">
      <c r="B23" s="8">
        <v>0.85</v>
      </c>
      <c r="C23" s="8" t="s">
        <v>30</v>
      </c>
    </row>
    <row r="24" spans="2:3" x14ac:dyDescent="0.3">
      <c r="B24" s="8">
        <v>0.95</v>
      </c>
      <c r="C24" s="8" t="s">
        <v>31</v>
      </c>
    </row>
    <row r="25" spans="2:3" x14ac:dyDescent="0.3">
      <c r="B25" s="2"/>
    </row>
  </sheetData>
  <phoneticPr fontId="1" type="noConversion"/>
  <conditionalFormatting sqref="I2:I12">
    <cfRule type="containsText" dxfId="2" priority="1" operator="containsText" text="A">
      <formula>NOT(ISERROR(SEARCH("A",I2)))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6C69D6EA-9DEF-419C-A542-CE903C25DF7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Sheet1!A2:I2</xm:f>
              <xm:sqref>J2</xm:sqref>
            </x14:sparkline>
            <x14:sparkline>
              <xm:f>Sheet1!A3:I3</xm:f>
              <xm:sqref>J3</xm:sqref>
            </x14:sparkline>
            <x14:sparkline>
              <xm:f>Sheet1!A4:I4</xm:f>
              <xm:sqref>J4</xm:sqref>
            </x14:sparkline>
            <x14:sparkline>
              <xm:f>Sheet1!A5:I5</xm:f>
              <xm:sqref>J5</xm:sqref>
            </x14:sparkline>
            <x14:sparkline>
              <xm:f>Sheet1!A6:I6</xm:f>
              <xm:sqref>J6</xm:sqref>
            </x14:sparkline>
            <x14:sparkline>
              <xm:f>Sheet1!A7:I7</xm:f>
              <xm:sqref>J7</xm:sqref>
            </x14:sparkline>
            <x14:sparkline>
              <xm:f>Sheet1!A8:I8</xm:f>
              <xm:sqref>J8</xm:sqref>
            </x14:sparkline>
            <x14:sparkline>
              <xm:f>Sheet1!A9:I9</xm:f>
              <xm:sqref>J9</xm:sqref>
            </x14:sparkline>
            <x14:sparkline>
              <xm:f>Sheet1!A10:I10</xm:f>
              <xm:sqref>J10</xm:sqref>
            </x14:sparkline>
            <x14:sparkline>
              <xm:f>Sheet1!A11:I11</xm:f>
              <xm:sqref>J11</xm:sqref>
            </x14:sparkline>
            <x14:sparkline>
              <xm:f>Sheet1!A12:I12</xm:f>
              <xm:sqref>J12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2026-01-26T12:30:11Z</dcterms:created>
  <dcterms:modified xsi:type="dcterms:W3CDTF">2026-02-12T14:57:25Z</dcterms:modified>
</cp:coreProperties>
</file>