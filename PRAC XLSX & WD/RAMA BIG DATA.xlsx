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69D81E8-07FE-408B-BEDE-B5C329D2929E}" xr6:coauthVersionLast="47" xr6:coauthVersionMax="47" xr10:uidLastSave="{00000000-0000-0000-0000-000000000000}"/>
  <bookViews>
    <workbookView xWindow="-108" yWindow="-108" windowWidth="23256" windowHeight="12456" xr2:uid="{3FD82033-A8A4-4677-B481-51628349653A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6" i="1" l="1"/>
  <c r="G3" i="1"/>
  <c r="G26" i="1"/>
  <c r="G105" i="1"/>
  <c r="G19" i="1"/>
  <c r="G60" i="1"/>
  <c r="G156" i="1"/>
  <c r="G10" i="1"/>
  <c r="G56" i="1"/>
  <c r="G8" i="1"/>
  <c r="G7" i="1"/>
  <c r="G9" i="1"/>
  <c r="G132" i="1"/>
  <c r="G111" i="1"/>
  <c r="G126" i="1"/>
  <c r="G20" i="1"/>
  <c r="G77" i="1"/>
  <c r="G174" i="1"/>
  <c r="G118" i="1"/>
  <c r="G135" i="1"/>
  <c r="G166" i="1"/>
  <c r="G85" i="1"/>
  <c r="G57" i="1"/>
  <c r="G11" i="1"/>
  <c r="G159" i="1"/>
  <c r="G97" i="1"/>
  <c r="G175" i="1"/>
  <c r="G75" i="1"/>
  <c r="G21" i="1"/>
  <c r="G160" i="1"/>
  <c r="G80" i="1"/>
  <c r="G45" i="1"/>
  <c r="G63" i="1"/>
  <c r="G146" i="1"/>
  <c r="G95" i="1"/>
  <c r="G180" i="1"/>
  <c r="G32" i="1"/>
  <c r="G58" i="1"/>
  <c r="G83" i="1"/>
  <c r="G185" i="1"/>
  <c r="G122" i="1"/>
  <c r="G130" i="1"/>
  <c r="G183" i="1"/>
  <c r="G176" i="1"/>
  <c r="G117" i="1"/>
  <c r="G165" i="1"/>
  <c r="G173" i="1"/>
  <c r="G121" i="1"/>
  <c r="G119" i="1"/>
  <c r="G114" i="1"/>
  <c r="G73" i="1"/>
  <c r="G62" i="1"/>
  <c r="G17" i="1"/>
  <c r="G5" i="1"/>
  <c r="G40" i="1"/>
  <c r="G65" i="1"/>
  <c r="G31" i="1"/>
  <c r="G33" i="1"/>
  <c r="G149" i="1"/>
  <c r="G125" i="1"/>
  <c r="G145" i="1"/>
  <c r="G178" i="1"/>
  <c r="G161" i="1"/>
  <c r="G154" i="1"/>
  <c r="G46" i="1"/>
  <c r="G61" i="1"/>
  <c r="G115" i="1"/>
  <c r="G49" i="1"/>
  <c r="G35" i="1"/>
  <c r="G128" i="1"/>
  <c r="G137" i="1"/>
  <c r="G30" i="1"/>
  <c r="G150" i="1"/>
  <c r="G86" i="1"/>
  <c r="G138" i="1"/>
  <c r="G67" i="1"/>
  <c r="G34" i="1"/>
  <c r="G36" i="1"/>
  <c r="G48" i="1"/>
  <c r="G47" i="1"/>
  <c r="G148" i="1"/>
  <c r="G16" i="1"/>
  <c r="G52" i="1"/>
  <c r="G25" i="1"/>
  <c r="G124" i="1"/>
  <c r="G18" i="1"/>
  <c r="G4" i="1"/>
  <c r="G6" i="1"/>
  <c r="G142" i="1"/>
  <c r="G72" i="1"/>
  <c r="G76" i="1"/>
  <c r="G100" i="1"/>
  <c r="G169" i="1"/>
  <c r="G107" i="1"/>
  <c r="G12" i="1"/>
  <c r="G51" i="1"/>
  <c r="G81" i="1"/>
  <c r="G127" i="1"/>
  <c r="G182" i="1"/>
  <c r="G108" i="1"/>
  <c r="G53" i="1"/>
  <c r="G168" i="1"/>
  <c r="G141" i="1"/>
  <c r="G143" i="1"/>
  <c r="G184" i="1"/>
  <c r="G82" i="1"/>
  <c r="G64" i="1"/>
  <c r="G39" i="1"/>
  <c r="G28" i="1"/>
  <c r="G55" i="1"/>
  <c r="G44" i="1"/>
  <c r="G13" i="1"/>
  <c r="G68" i="1"/>
  <c r="G103" i="1"/>
  <c r="G41" i="1"/>
  <c r="G144" i="1"/>
  <c r="G79" i="1"/>
  <c r="G109" i="1"/>
  <c r="G94" i="1"/>
  <c r="G139" i="1"/>
  <c r="G15" i="1"/>
  <c r="G27" i="1"/>
  <c r="G112" i="1"/>
  <c r="G22" i="1"/>
  <c r="G181" i="1"/>
  <c r="G71" i="1"/>
  <c r="G151" i="1"/>
  <c r="G84" i="1"/>
  <c r="G110" i="1"/>
  <c r="G162" i="1"/>
  <c r="G87" i="1"/>
  <c r="G99" i="1"/>
  <c r="G23" i="1"/>
  <c r="G167" i="1"/>
  <c r="G50" i="1"/>
  <c r="G37" i="1"/>
  <c r="G116" i="1"/>
  <c r="G123" i="1"/>
  <c r="G70" i="1"/>
  <c r="G14" i="1"/>
  <c r="G131" i="1"/>
  <c r="G42" i="1"/>
  <c r="G104" i="1"/>
  <c r="G92" i="1"/>
  <c r="G133" i="1"/>
  <c r="G38" i="1"/>
  <c r="G54" i="1"/>
  <c r="G106" i="1"/>
  <c r="G155" i="1"/>
  <c r="G43" i="1"/>
  <c r="G96" i="1"/>
  <c r="G98" i="1"/>
  <c r="G91" i="1"/>
  <c r="G153" i="1"/>
  <c r="G152" i="1"/>
  <c r="G171" i="1"/>
  <c r="G120" i="1"/>
  <c r="G69" i="1"/>
  <c r="G136" i="1"/>
  <c r="G78" i="1"/>
  <c r="G157" i="1"/>
  <c r="G24" i="1"/>
  <c r="G88" i="1"/>
  <c r="G170" i="1"/>
  <c r="G102" i="1"/>
  <c r="G113" i="1"/>
  <c r="G89" i="1"/>
  <c r="G101" i="1"/>
  <c r="G177" i="1"/>
  <c r="G129" i="1"/>
  <c r="G93" i="1"/>
  <c r="G134" i="1"/>
  <c r="G74" i="1"/>
  <c r="G179" i="1"/>
  <c r="G90" i="1"/>
  <c r="G172" i="1"/>
  <c r="G163" i="1"/>
  <c r="G140" i="1"/>
  <c r="G66" i="1"/>
  <c r="G59" i="1"/>
  <c r="G164" i="1"/>
  <c r="G147" i="1"/>
  <c r="G158" i="1"/>
  <c r="G2" i="1"/>
  <c r="G29" i="1"/>
  <c r="F3" i="1"/>
  <c r="I3" i="1" s="1"/>
  <c r="F26" i="1"/>
  <c r="I26" i="1" s="1"/>
  <c r="F105" i="1"/>
  <c r="I105" i="1" s="1"/>
  <c r="F19" i="1"/>
  <c r="I19" i="1" s="1"/>
  <c r="F60" i="1"/>
  <c r="I60" i="1" s="1"/>
  <c r="F156" i="1"/>
  <c r="I156" i="1" s="1"/>
  <c r="F10" i="1"/>
  <c r="H10" i="1" s="1"/>
  <c r="J10" i="1" s="1"/>
  <c r="F56" i="1"/>
  <c r="H56" i="1" s="1"/>
  <c r="J56" i="1" s="1"/>
  <c r="F8" i="1"/>
  <c r="I8" i="1" s="1"/>
  <c r="F7" i="1"/>
  <c r="I7" i="1" s="1"/>
  <c r="F9" i="1"/>
  <c r="I9" i="1" s="1"/>
  <c r="F132" i="1"/>
  <c r="I132" i="1" s="1"/>
  <c r="F111" i="1"/>
  <c r="I111" i="1" s="1"/>
  <c r="F126" i="1"/>
  <c r="I126" i="1" s="1"/>
  <c r="F20" i="1"/>
  <c r="H20" i="1" s="1"/>
  <c r="J20" i="1" s="1"/>
  <c r="F77" i="1"/>
  <c r="H77" i="1" s="1"/>
  <c r="J77" i="1" s="1"/>
  <c r="F174" i="1"/>
  <c r="I174" i="1" s="1"/>
  <c r="F118" i="1"/>
  <c r="I118" i="1" s="1"/>
  <c r="F135" i="1"/>
  <c r="I135" i="1" s="1"/>
  <c r="F166" i="1"/>
  <c r="I166" i="1" s="1"/>
  <c r="F85" i="1"/>
  <c r="H85" i="1" s="1"/>
  <c r="J85" i="1" s="1"/>
  <c r="F57" i="1"/>
  <c r="H57" i="1" s="1"/>
  <c r="J57" i="1" s="1"/>
  <c r="F11" i="1"/>
  <c r="I11" i="1" s="1"/>
  <c r="F159" i="1"/>
  <c r="I159" i="1" s="1"/>
  <c r="F97" i="1"/>
  <c r="I97" i="1" s="1"/>
  <c r="F175" i="1"/>
  <c r="I175" i="1" s="1"/>
  <c r="F75" i="1"/>
  <c r="I75" i="1" s="1"/>
  <c r="F21" i="1"/>
  <c r="I21" i="1" s="1"/>
  <c r="F160" i="1"/>
  <c r="I160" i="1" s="1"/>
  <c r="F80" i="1"/>
  <c r="F45" i="1"/>
  <c r="I45" i="1" s="1"/>
  <c r="F63" i="1"/>
  <c r="I63" i="1" s="1"/>
  <c r="F146" i="1"/>
  <c r="I146" i="1" s="1"/>
  <c r="F95" i="1"/>
  <c r="I95" i="1" s="1"/>
  <c r="F180" i="1"/>
  <c r="I180" i="1" s="1"/>
  <c r="F32" i="1"/>
  <c r="I32" i="1" s="1"/>
  <c r="F58" i="1"/>
  <c r="I58" i="1" s="1"/>
  <c r="F83" i="1"/>
  <c r="I83" i="1" s="1"/>
  <c r="F185" i="1"/>
  <c r="I185" i="1" s="1"/>
  <c r="F122" i="1"/>
  <c r="I122" i="1" s="1"/>
  <c r="F130" i="1"/>
  <c r="I130" i="1" s="1"/>
  <c r="F183" i="1"/>
  <c r="I183" i="1" s="1"/>
  <c r="F176" i="1"/>
  <c r="I176" i="1" s="1"/>
  <c r="F117" i="1"/>
  <c r="I117" i="1" s="1"/>
  <c r="F165" i="1"/>
  <c r="I165" i="1" s="1"/>
  <c r="F173" i="1"/>
  <c r="I173" i="1" s="1"/>
  <c r="F121" i="1"/>
  <c r="I121" i="1" s="1"/>
  <c r="F119" i="1"/>
  <c r="I119" i="1" s="1"/>
  <c r="F114" i="1"/>
  <c r="I114" i="1" s="1"/>
  <c r="F73" i="1"/>
  <c r="I73" i="1" s="1"/>
  <c r="F62" i="1"/>
  <c r="I62" i="1" s="1"/>
  <c r="F17" i="1"/>
  <c r="I17" i="1" s="1"/>
  <c r="F5" i="1"/>
  <c r="I5" i="1" s="1"/>
  <c r="F40" i="1"/>
  <c r="I40" i="1" s="1"/>
  <c r="F65" i="1"/>
  <c r="I65" i="1" s="1"/>
  <c r="F31" i="1"/>
  <c r="I31" i="1" s="1"/>
  <c r="F33" i="1"/>
  <c r="I33" i="1" s="1"/>
  <c r="F149" i="1"/>
  <c r="I149" i="1" s="1"/>
  <c r="F125" i="1"/>
  <c r="I125" i="1" s="1"/>
  <c r="F145" i="1"/>
  <c r="I145" i="1" s="1"/>
  <c r="F178" i="1"/>
  <c r="I178" i="1" s="1"/>
  <c r="F161" i="1"/>
  <c r="I161" i="1" s="1"/>
  <c r="F154" i="1"/>
  <c r="I154" i="1" s="1"/>
  <c r="F46" i="1"/>
  <c r="I46" i="1" s="1"/>
  <c r="F61" i="1"/>
  <c r="I61" i="1" s="1"/>
  <c r="F115" i="1"/>
  <c r="I115" i="1" s="1"/>
  <c r="F49" i="1"/>
  <c r="I49" i="1" s="1"/>
  <c r="F35" i="1"/>
  <c r="I35" i="1" s="1"/>
  <c r="F128" i="1"/>
  <c r="I128" i="1" s="1"/>
  <c r="F137" i="1"/>
  <c r="I137" i="1" s="1"/>
  <c r="F30" i="1"/>
  <c r="I30" i="1" s="1"/>
  <c r="F150" i="1"/>
  <c r="I150" i="1" s="1"/>
  <c r="F86" i="1"/>
  <c r="I86" i="1" s="1"/>
  <c r="F138" i="1"/>
  <c r="I138" i="1" s="1"/>
  <c r="F67" i="1"/>
  <c r="I67" i="1" s="1"/>
  <c r="F34" i="1"/>
  <c r="I34" i="1" s="1"/>
  <c r="F36" i="1"/>
  <c r="I36" i="1" s="1"/>
  <c r="F48" i="1"/>
  <c r="I48" i="1" s="1"/>
  <c r="F47" i="1"/>
  <c r="I47" i="1" s="1"/>
  <c r="F148" i="1"/>
  <c r="I148" i="1" s="1"/>
  <c r="F16" i="1"/>
  <c r="I16" i="1" s="1"/>
  <c r="F52" i="1"/>
  <c r="I52" i="1" s="1"/>
  <c r="F25" i="1"/>
  <c r="I25" i="1" s="1"/>
  <c r="F124" i="1"/>
  <c r="I124" i="1" s="1"/>
  <c r="F18" i="1"/>
  <c r="I18" i="1" s="1"/>
  <c r="F4" i="1"/>
  <c r="I4" i="1" s="1"/>
  <c r="F6" i="1"/>
  <c r="I6" i="1" s="1"/>
  <c r="F142" i="1"/>
  <c r="I142" i="1" s="1"/>
  <c r="F72" i="1"/>
  <c r="I72" i="1" s="1"/>
  <c r="F76" i="1"/>
  <c r="I76" i="1" s="1"/>
  <c r="F100" i="1"/>
  <c r="I100" i="1" s="1"/>
  <c r="F169" i="1"/>
  <c r="I169" i="1" s="1"/>
  <c r="F107" i="1"/>
  <c r="I107" i="1" s="1"/>
  <c r="F12" i="1"/>
  <c r="I12" i="1" s="1"/>
  <c r="F51" i="1"/>
  <c r="I51" i="1" s="1"/>
  <c r="F81" i="1"/>
  <c r="I81" i="1" s="1"/>
  <c r="F127" i="1"/>
  <c r="I127" i="1" s="1"/>
  <c r="F182" i="1"/>
  <c r="I182" i="1" s="1"/>
  <c r="F108" i="1"/>
  <c r="I108" i="1" s="1"/>
  <c r="F53" i="1"/>
  <c r="I53" i="1" s="1"/>
  <c r="F168" i="1"/>
  <c r="I168" i="1" s="1"/>
  <c r="F141" i="1"/>
  <c r="I141" i="1" s="1"/>
  <c r="F143" i="1"/>
  <c r="I143" i="1" s="1"/>
  <c r="F184" i="1"/>
  <c r="I184" i="1" s="1"/>
  <c r="F82" i="1"/>
  <c r="I82" i="1" s="1"/>
  <c r="F64" i="1"/>
  <c r="I64" i="1" s="1"/>
  <c r="F39" i="1"/>
  <c r="I39" i="1" s="1"/>
  <c r="F28" i="1"/>
  <c r="I28" i="1" s="1"/>
  <c r="F55" i="1"/>
  <c r="I55" i="1" s="1"/>
  <c r="F44" i="1"/>
  <c r="I44" i="1" s="1"/>
  <c r="F13" i="1"/>
  <c r="F68" i="1"/>
  <c r="I68" i="1" s="1"/>
  <c r="F103" i="1"/>
  <c r="F41" i="1"/>
  <c r="I41" i="1" s="1"/>
  <c r="F144" i="1"/>
  <c r="I144" i="1" s="1"/>
  <c r="F79" i="1"/>
  <c r="I79" i="1" s="1"/>
  <c r="F109" i="1"/>
  <c r="I109" i="1" s="1"/>
  <c r="F94" i="1"/>
  <c r="I94" i="1" s="1"/>
  <c r="F139" i="1"/>
  <c r="I139" i="1" s="1"/>
  <c r="F15" i="1"/>
  <c r="I15" i="1" s="1"/>
  <c r="F27" i="1"/>
  <c r="I27" i="1" s="1"/>
  <c r="F112" i="1"/>
  <c r="I112" i="1" s="1"/>
  <c r="F22" i="1"/>
  <c r="I22" i="1" s="1"/>
  <c r="F181" i="1"/>
  <c r="I181" i="1" s="1"/>
  <c r="F71" i="1"/>
  <c r="I71" i="1" s="1"/>
  <c r="F151" i="1"/>
  <c r="I151" i="1" s="1"/>
  <c r="F84" i="1"/>
  <c r="I84" i="1" s="1"/>
  <c r="F110" i="1"/>
  <c r="I110" i="1" s="1"/>
  <c r="F162" i="1"/>
  <c r="I162" i="1" s="1"/>
  <c r="F87" i="1"/>
  <c r="I87" i="1" s="1"/>
  <c r="F99" i="1"/>
  <c r="I99" i="1" s="1"/>
  <c r="F23" i="1"/>
  <c r="I23" i="1" s="1"/>
  <c r="F167" i="1"/>
  <c r="I167" i="1" s="1"/>
  <c r="F50" i="1"/>
  <c r="I50" i="1" s="1"/>
  <c r="F37" i="1"/>
  <c r="I37" i="1" s="1"/>
  <c r="F116" i="1"/>
  <c r="I116" i="1" s="1"/>
  <c r="F123" i="1"/>
  <c r="I123" i="1" s="1"/>
  <c r="F70" i="1"/>
  <c r="I70" i="1" s="1"/>
  <c r="F14" i="1"/>
  <c r="I14" i="1" s="1"/>
  <c r="F131" i="1"/>
  <c r="I131" i="1" s="1"/>
  <c r="F42" i="1"/>
  <c r="I42" i="1" s="1"/>
  <c r="F104" i="1"/>
  <c r="I104" i="1" s="1"/>
  <c r="F92" i="1"/>
  <c r="I92" i="1" s="1"/>
  <c r="F133" i="1"/>
  <c r="I133" i="1" s="1"/>
  <c r="F38" i="1"/>
  <c r="I38" i="1" s="1"/>
  <c r="F54" i="1"/>
  <c r="I54" i="1" s="1"/>
  <c r="F106" i="1"/>
  <c r="I106" i="1" s="1"/>
  <c r="F155" i="1"/>
  <c r="I155" i="1" s="1"/>
  <c r="F43" i="1"/>
  <c r="I43" i="1" s="1"/>
  <c r="F96" i="1"/>
  <c r="I96" i="1" s="1"/>
  <c r="F98" i="1"/>
  <c r="I98" i="1" s="1"/>
  <c r="F91" i="1"/>
  <c r="I91" i="1" s="1"/>
  <c r="F153" i="1"/>
  <c r="I153" i="1" s="1"/>
  <c r="F152" i="1"/>
  <c r="I152" i="1" s="1"/>
  <c r="F171" i="1"/>
  <c r="I171" i="1" s="1"/>
  <c r="F120" i="1"/>
  <c r="I120" i="1" s="1"/>
  <c r="F69" i="1"/>
  <c r="I69" i="1" s="1"/>
  <c r="F136" i="1"/>
  <c r="I136" i="1" s="1"/>
  <c r="F78" i="1"/>
  <c r="I78" i="1" s="1"/>
  <c r="F157" i="1"/>
  <c r="I157" i="1" s="1"/>
  <c r="F24" i="1"/>
  <c r="I24" i="1" s="1"/>
  <c r="F88" i="1"/>
  <c r="I88" i="1" s="1"/>
  <c r="F170" i="1"/>
  <c r="I170" i="1" s="1"/>
  <c r="F102" i="1"/>
  <c r="I102" i="1" s="1"/>
  <c r="F113" i="1"/>
  <c r="I113" i="1" s="1"/>
  <c r="F89" i="1"/>
  <c r="I89" i="1" s="1"/>
  <c r="F101" i="1"/>
  <c r="I101" i="1" s="1"/>
  <c r="F177" i="1"/>
  <c r="I177" i="1" s="1"/>
  <c r="F129" i="1"/>
  <c r="I129" i="1" s="1"/>
  <c r="F93" i="1"/>
  <c r="I93" i="1" s="1"/>
  <c r="F134" i="1"/>
  <c r="I134" i="1" s="1"/>
  <c r="F74" i="1"/>
  <c r="I74" i="1" s="1"/>
  <c r="F179" i="1"/>
  <c r="I179" i="1" s="1"/>
  <c r="F90" i="1"/>
  <c r="I90" i="1" s="1"/>
  <c r="F172" i="1"/>
  <c r="I172" i="1" s="1"/>
  <c r="F163" i="1"/>
  <c r="I163" i="1" s="1"/>
  <c r="F140" i="1"/>
  <c r="I140" i="1" s="1"/>
  <c r="F66" i="1"/>
  <c r="I66" i="1" s="1"/>
  <c r="F59" i="1"/>
  <c r="I59" i="1" s="1"/>
  <c r="F164" i="1"/>
  <c r="I164" i="1" s="1"/>
  <c r="F147" i="1"/>
  <c r="I147" i="1" s="1"/>
  <c r="F158" i="1"/>
  <c r="I158" i="1" s="1"/>
  <c r="F2" i="1"/>
  <c r="I2" i="1" s="1"/>
  <c r="F29" i="1"/>
  <c r="I29" i="1" s="1"/>
  <c r="I13" i="1" l="1"/>
  <c r="I80" i="1"/>
  <c r="I103" i="1"/>
  <c r="H29" i="1"/>
  <c r="J29" i="1" s="1"/>
  <c r="H163" i="1"/>
  <c r="J163" i="1" s="1"/>
  <c r="H177" i="1"/>
  <c r="J177" i="1" s="1"/>
  <c r="H157" i="1"/>
  <c r="J157" i="1" s="1"/>
  <c r="H91" i="1"/>
  <c r="J91" i="1" s="1"/>
  <c r="H133" i="1"/>
  <c r="J133" i="1" s="1"/>
  <c r="H116" i="1"/>
  <c r="J116" i="1" s="1"/>
  <c r="H110" i="1"/>
  <c r="J110" i="1" s="1"/>
  <c r="H15" i="1"/>
  <c r="J15" i="1" s="1"/>
  <c r="H68" i="1"/>
  <c r="J68" i="1" s="1"/>
  <c r="H184" i="1"/>
  <c r="J184" i="1" s="1"/>
  <c r="H81" i="1"/>
  <c r="J81" i="1" s="1"/>
  <c r="H142" i="1"/>
  <c r="J142" i="1" s="1"/>
  <c r="H148" i="1"/>
  <c r="J148" i="1" s="1"/>
  <c r="H150" i="1"/>
  <c r="J150" i="1" s="1"/>
  <c r="H46" i="1"/>
  <c r="J46" i="1" s="1"/>
  <c r="H31" i="1"/>
  <c r="J31" i="1" s="1"/>
  <c r="H119" i="1"/>
  <c r="J119" i="1" s="1"/>
  <c r="H122" i="1"/>
  <c r="J122" i="1" s="1"/>
  <c r="H63" i="1"/>
  <c r="J63" i="1" s="1"/>
  <c r="H159" i="1"/>
  <c r="J159" i="1" s="1"/>
  <c r="H126" i="1"/>
  <c r="J126" i="1" s="1"/>
  <c r="H156" i="1"/>
  <c r="J156" i="1" s="1"/>
  <c r="I77" i="1"/>
  <c r="I56" i="1"/>
  <c r="H2" i="1"/>
  <c r="J2" i="1" s="1"/>
  <c r="H172" i="1"/>
  <c r="J172" i="1" s="1"/>
  <c r="H101" i="1"/>
  <c r="J101" i="1" s="1"/>
  <c r="H78" i="1"/>
  <c r="J78" i="1" s="1"/>
  <c r="H98" i="1"/>
  <c r="J98" i="1" s="1"/>
  <c r="H92" i="1"/>
  <c r="J92" i="1" s="1"/>
  <c r="H37" i="1"/>
  <c r="J37" i="1" s="1"/>
  <c r="H84" i="1"/>
  <c r="J84" i="1" s="1"/>
  <c r="H139" i="1"/>
  <c r="J139" i="1" s="1"/>
  <c r="H13" i="1"/>
  <c r="J13" i="1" s="1"/>
  <c r="H143" i="1"/>
  <c r="J143" i="1" s="1"/>
  <c r="H51" i="1"/>
  <c r="J51" i="1" s="1"/>
  <c r="H6" i="1"/>
  <c r="J6" i="1" s="1"/>
  <c r="H47" i="1"/>
  <c r="J47" i="1" s="1"/>
  <c r="H30" i="1"/>
  <c r="J30" i="1" s="1"/>
  <c r="H154" i="1"/>
  <c r="J154" i="1" s="1"/>
  <c r="H65" i="1"/>
  <c r="J65" i="1" s="1"/>
  <c r="H121" i="1"/>
  <c r="J121" i="1" s="1"/>
  <c r="H185" i="1"/>
  <c r="J185" i="1" s="1"/>
  <c r="H45" i="1"/>
  <c r="J45" i="1" s="1"/>
  <c r="H11" i="1"/>
  <c r="J11" i="1" s="1"/>
  <c r="H111" i="1"/>
  <c r="J111" i="1" s="1"/>
  <c r="H60" i="1"/>
  <c r="J60" i="1" s="1"/>
  <c r="I20" i="1"/>
  <c r="I10" i="1"/>
  <c r="H158" i="1"/>
  <c r="J158" i="1" s="1"/>
  <c r="H90" i="1"/>
  <c r="J90" i="1" s="1"/>
  <c r="H89" i="1"/>
  <c r="J89" i="1" s="1"/>
  <c r="H136" i="1"/>
  <c r="J136" i="1" s="1"/>
  <c r="H96" i="1"/>
  <c r="J96" i="1" s="1"/>
  <c r="H104" i="1"/>
  <c r="J104" i="1" s="1"/>
  <c r="H50" i="1"/>
  <c r="J50" i="1" s="1"/>
  <c r="H151" i="1"/>
  <c r="J151" i="1" s="1"/>
  <c r="H94" i="1"/>
  <c r="J94" i="1" s="1"/>
  <c r="H44" i="1"/>
  <c r="J44" i="1" s="1"/>
  <c r="H141" i="1"/>
  <c r="J141" i="1" s="1"/>
  <c r="H12" i="1"/>
  <c r="J12" i="1" s="1"/>
  <c r="H4" i="1"/>
  <c r="J4" i="1" s="1"/>
  <c r="H48" i="1"/>
  <c r="J48" i="1" s="1"/>
  <c r="H137" i="1"/>
  <c r="J137" i="1" s="1"/>
  <c r="H161" i="1"/>
  <c r="J161" i="1" s="1"/>
  <c r="H40" i="1"/>
  <c r="J40" i="1" s="1"/>
  <c r="H173" i="1"/>
  <c r="J173" i="1" s="1"/>
  <c r="H83" i="1"/>
  <c r="J83" i="1" s="1"/>
  <c r="H80" i="1"/>
  <c r="J80" i="1" s="1"/>
  <c r="H166" i="1"/>
  <c r="J166" i="1" s="1"/>
  <c r="H132" i="1"/>
  <c r="J132" i="1" s="1"/>
  <c r="H19" i="1"/>
  <c r="J19" i="1" s="1"/>
  <c r="I57" i="1"/>
  <c r="H147" i="1"/>
  <c r="J147" i="1" s="1"/>
  <c r="H179" i="1"/>
  <c r="J179" i="1" s="1"/>
  <c r="H113" i="1"/>
  <c r="J113" i="1" s="1"/>
  <c r="H69" i="1"/>
  <c r="J69" i="1" s="1"/>
  <c r="H43" i="1"/>
  <c r="J43" i="1" s="1"/>
  <c r="H42" i="1"/>
  <c r="J42" i="1" s="1"/>
  <c r="H167" i="1"/>
  <c r="J167" i="1" s="1"/>
  <c r="H71" i="1"/>
  <c r="J71" i="1" s="1"/>
  <c r="H109" i="1"/>
  <c r="J109" i="1" s="1"/>
  <c r="H55" i="1"/>
  <c r="J55" i="1" s="1"/>
  <c r="H168" i="1"/>
  <c r="J168" i="1" s="1"/>
  <c r="H107" i="1"/>
  <c r="J107" i="1" s="1"/>
  <c r="H18" i="1"/>
  <c r="J18" i="1" s="1"/>
  <c r="H36" i="1"/>
  <c r="J36" i="1" s="1"/>
  <c r="H128" i="1"/>
  <c r="J128" i="1" s="1"/>
  <c r="H178" i="1"/>
  <c r="J178" i="1" s="1"/>
  <c r="H5" i="1"/>
  <c r="J5" i="1" s="1"/>
  <c r="H165" i="1"/>
  <c r="J165" i="1" s="1"/>
  <c r="H58" i="1"/>
  <c r="J58" i="1" s="1"/>
  <c r="H160" i="1"/>
  <c r="J160" i="1" s="1"/>
  <c r="H135" i="1"/>
  <c r="J135" i="1" s="1"/>
  <c r="H9" i="1"/>
  <c r="J9" i="1" s="1"/>
  <c r="H105" i="1"/>
  <c r="J105" i="1" s="1"/>
  <c r="I85" i="1"/>
  <c r="H164" i="1"/>
  <c r="J164" i="1" s="1"/>
  <c r="H74" i="1"/>
  <c r="J74" i="1" s="1"/>
  <c r="H102" i="1"/>
  <c r="J102" i="1" s="1"/>
  <c r="H120" i="1"/>
  <c r="J120" i="1" s="1"/>
  <c r="H155" i="1"/>
  <c r="J155" i="1" s="1"/>
  <c r="H131" i="1"/>
  <c r="J131" i="1" s="1"/>
  <c r="H23" i="1"/>
  <c r="J23" i="1" s="1"/>
  <c r="H181" i="1"/>
  <c r="J181" i="1" s="1"/>
  <c r="H79" i="1"/>
  <c r="J79" i="1" s="1"/>
  <c r="H28" i="1"/>
  <c r="J28" i="1" s="1"/>
  <c r="H53" i="1"/>
  <c r="J53" i="1" s="1"/>
  <c r="H169" i="1"/>
  <c r="J169" i="1" s="1"/>
  <c r="H124" i="1"/>
  <c r="J124" i="1" s="1"/>
  <c r="H34" i="1"/>
  <c r="J34" i="1" s="1"/>
  <c r="H35" i="1"/>
  <c r="J35" i="1" s="1"/>
  <c r="H145" i="1"/>
  <c r="J145" i="1" s="1"/>
  <c r="H17" i="1"/>
  <c r="J17" i="1" s="1"/>
  <c r="H117" i="1"/>
  <c r="J117" i="1" s="1"/>
  <c r="H32" i="1"/>
  <c r="J32" i="1" s="1"/>
  <c r="H21" i="1"/>
  <c r="J21" i="1" s="1"/>
  <c r="H118" i="1"/>
  <c r="J118" i="1" s="1"/>
  <c r="H7" i="1"/>
  <c r="J7" i="1" s="1"/>
  <c r="H26" i="1"/>
  <c r="J26" i="1" s="1"/>
  <c r="H59" i="1"/>
  <c r="J59" i="1" s="1"/>
  <c r="H134" i="1"/>
  <c r="J134" i="1" s="1"/>
  <c r="H170" i="1"/>
  <c r="J170" i="1" s="1"/>
  <c r="H171" i="1"/>
  <c r="J171" i="1" s="1"/>
  <c r="H106" i="1"/>
  <c r="J106" i="1" s="1"/>
  <c r="H14" i="1"/>
  <c r="J14" i="1" s="1"/>
  <c r="H99" i="1"/>
  <c r="J99" i="1" s="1"/>
  <c r="H22" i="1"/>
  <c r="J22" i="1" s="1"/>
  <c r="H144" i="1"/>
  <c r="J144" i="1" s="1"/>
  <c r="H39" i="1"/>
  <c r="J39" i="1" s="1"/>
  <c r="H108" i="1"/>
  <c r="J108" i="1" s="1"/>
  <c r="H100" i="1"/>
  <c r="J100" i="1" s="1"/>
  <c r="H25" i="1"/>
  <c r="J25" i="1" s="1"/>
  <c r="H67" i="1"/>
  <c r="J67" i="1" s="1"/>
  <c r="H49" i="1"/>
  <c r="J49" i="1" s="1"/>
  <c r="H125" i="1"/>
  <c r="J125" i="1" s="1"/>
  <c r="H62" i="1"/>
  <c r="J62" i="1" s="1"/>
  <c r="H176" i="1"/>
  <c r="J176" i="1" s="1"/>
  <c r="H180" i="1"/>
  <c r="J180" i="1" s="1"/>
  <c r="H75" i="1"/>
  <c r="J75" i="1" s="1"/>
  <c r="H174" i="1"/>
  <c r="J174" i="1" s="1"/>
  <c r="H8" i="1"/>
  <c r="J8" i="1" s="1"/>
  <c r="H3" i="1"/>
  <c r="J3" i="1" s="1"/>
  <c r="H66" i="1"/>
  <c r="J66" i="1" s="1"/>
  <c r="H93" i="1"/>
  <c r="J93" i="1" s="1"/>
  <c r="H88" i="1"/>
  <c r="J88" i="1" s="1"/>
  <c r="H152" i="1"/>
  <c r="J152" i="1" s="1"/>
  <c r="H54" i="1"/>
  <c r="J54" i="1" s="1"/>
  <c r="H70" i="1"/>
  <c r="J70" i="1" s="1"/>
  <c r="H87" i="1"/>
  <c r="J87" i="1" s="1"/>
  <c r="H112" i="1"/>
  <c r="J112" i="1" s="1"/>
  <c r="H41" i="1"/>
  <c r="J41" i="1" s="1"/>
  <c r="H64" i="1"/>
  <c r="J64" i="1" s="1"/>
  <c r="H182" i="1"/>
  <c r="J182" i="1" s="1"/>
  <c r="H76" i="1"/>
  <c r="J76" i="1" s="1"/>
  <c r="H52" i="1"/>
  <c r="J52" i="1" s="1"/>
  <c r="H138" i="1"/>
  <c r="J138" i="1" s="1"/>
  <c r="H115" i="1"/>
  <c r="J115" i="1" s="1"/>
  <c r="H149" i="1"/>
  <c r="J149" i="1" s="1"/>
  <c r="H73" i="1"/>
  <c r="J73" i="1" s="1"/>
  <c r="H183" i="1"/>
  <c r="J183" i="1" s="1"/>
  <c r="H95" i="1"/>
  <c r="J95" i="1" s="1"/>
  <c r="H175" i="1"/>
  <c r="J175" i="1" s="1"/>
  <c r="H140" i="1"/>
  <c r="J140" i="1" s="1"/>
  <c r="H129" i="1"/>
  <c r="J129" i="1" s="1"/>
  <c r="H24" i="1"/>
  <c r="J24" i="1" s="1"/>
  <c r="H153" i="1"/>
  <c r="J153" i="1" s="1"/>
  <c r="H38" i="1"/>
  <c r="J38" i="1" s="1"/>
  <c r="H123" i="1"/>
  <c r="J123" i="1" s="1"/>
  <c r="H162" i="1"/>
  <c r="J162" i="1" s="1"/>
  <c r="H27" i="1"/>
  <c r="J27" i="1" s="1"/>
  <c r="H103" i="1"/>
  <c r="J103" i="1" s="1"/>
  <c r="H82" i="1"/>
  <c r="J82" i="1" s="1"/>
  <c r="H127" i="1"/>
  <c r="J127" i="1" s="1"/>
  <c r="H72" i="1"/>
  <c r="J72" i="1" s="1"/>
  <c r="H16" i="1"/>
  <c r="J16" i="1" s="1"/>
  <c r="H86" i="1"/>
  <c r="J86" i="1" s="1"/>
  <c r="H61" i="1"/>
  <c r="J61" i="1" s="1"/>
  <c r="H33" i="1"/>
  <c r="J33" i="1" s="1"/>
  <c r="H114" i="1"/>
  <c r="J114" i="1" s="1"/>
  <c r="H130" i="1"/>
  <c r="J130" i="1" s="1"/>
  <c r="H146" i="1"/>
  <c r="J146" i="1" s="1"/>
  <c r="H97" i="1"/>
  <c r="J97" i="1" s="1"/>
  <c r="K105" i="1" l="1"/>
  <c r="K187" i="1" s="1"/>
</calcChain>
</file>

<file path=xl/sharedStrings.xml><?xml version="1.0" encoding="utf-8"?>
<sst xmlns="http://schemas.openxmlformats.org/spreadsheetml/2006/main" count="206" uniqueCount="206">
  <si>
    <t>COUNCIL</t>
  </si>
  <si>
    <t>Number of Pupils</t>
  </si>
  <si>
    <t>Number of Teachers</t>
  </si>
  <si>
    <t>Boys</t>
  </si>
  <si>
    <t>Girls</t>
  </si>
  <si>
    <t>Male</t>
  </si>
  <si>
    <t>Female</t>
  </si>
  <si>
    <t>Arusha</t>
  </si>
  <si>
    <t>Arusha CC</t>
  </si>
  <si>
    <t>Karatu</t>
  </si>
  <si>
    <t>Longido</t>
  </si>
  <si>
    <t>Meru</t>
  </si>
  <si>
    <t>Monduli</t>
  </si>
  <si>
    <t>Ngorongoro</t>
  </si>
  <si>
    <t>Ilala MC</t>
  </si>
  <si>
    <t>Kigamboni MC</t>
  </si>
  <si>
    <t>Kinondoni MC</t>
  </si>
  <si>
    <t>Temeke MC</t>
  </si>
  <si>
    <t>Ubungo MC</t>
  </si>
  <si>
    <t>Bahi</t>
  </si>
  <si>
    <t>Chamwino</t>
  </si>
  <si>
    <t>Chemba</t>
  </si>
  <si>
    <t>Dodoma CC</t>
  </si>
  <si>
    <t>Kondoa</t>
  </si>
  <si>
    <t>Kondoa TC</t>
  </si>
  <si>
    <t>Kongwa</t>
  </si>
  <si>
    <t>Mpwapwa</t>
  </si>
  <si>
    <t>Bukombe</t>
  </si>
  <si>
    <t>Chato</t>
  </si>
  <si>
    <t>Geita</t>
  </si>
  <si>
    <t>Geita TC</t>
  </si>
  <si>
    <t>Mbogwe</t>
  </si>
  <si>
    <t>Nyang'hwale</t>
  </si>
  <si>
    <t>Iringa</t>
  </si>
  <si>
    <t>Iringa MC</t>
  </si>
  <si>
    <t>Kilolo</t>
  </si>
  <si>
    <t>Mafinga TC</t>
  </si>
  <si>
    <t>Mufindi</t>
  </si>
  <si>
    <t>Biharamulo</t>
  </si>
  <si>
    <t>Bukoba</t>
  </si>
  <si>
    <t>Bukoba MC</t>
  </si>
  <si>
    <t>Karagwe</t>
  </si>
  <si>
    <t>Kyerwa</t>
  </si>
  <si>
    <t>Missenyi</t>
  </si>
  <si>
    <t>Muleba</t>
  </si>
  <si>
    <t>Ngara</t>
  </si>
  <si>
    <t>Mlele</t>
  </si>
  <si>
    <t>Mpanda</t>
  </si>
  <si>
    <t>Mpanda MC</t>
  </si>
  <si>
    <t>Mpimbwe</t>
  </si>
  <si>
    <t>Nsimbo</t>
  </si>
  <si>
    <t>Buhigwe</t>
  </si>
  <si>
    <t>Kakonko</t>
  </si>
  <si>
    <t>Kasulu</t>
  </si>
  <si>
    <t>Kasulu TC</t>
  </si>
  <si>
    <t>Kibondo</t>
  </si>
  <si>
    <t>Kigoma</t>
  </si>
  <si>
    <t>Kigoma/Ujiji MC</t>
  </si>
  <si>
    <t>Uvinza</t>
  </si>
  <si>
    <t>Hai</t>
  </si>
  <si>
    <t>Moshi</t>
  </si>
  <si>
    <t>Moshi MC</t>
  </si>
  <si>
    <t>Mwanga</t>
  </si>
  <si>
    <t>Rombo</t>
  </si>
  <si>
    <t>Same</t>
  </si>
  <si>
    <t>Siha</t>
  </si>
  <si>
    <t>Kilwa</t>
  </si>
  <si>
    <t>Lindi</t>
  </si>
  <si>
    <t>Lindi MC</t>
  </si>
  <si>
    <t>Liwale</t>
  </si>
  <si>
    <t>Nachingwea</t>
  </si>
  <si>
    <t>Ruangwa</t>
  </si>
  <si>
    <t>Babati</t>
  </si>
  <si>
    <t>Babati TC</t>
  </si>
  <si>
    <t>Hanang</t>
  </si>
  <si>
    <t>Kiteto</t>
  </si>
  <si>
    <t>Mbulu</t>
  </si>
  <si>
    <t>Mbulu TC</t>
  </si>
  <si>
    <t>Simanjiro</t>
  </si>
  <si>
    <t>Bunda</t>
  </si>
  <si>
    <t>Bunda TC</t>
  </si>
  <si>
    <t>Butiama</t>
  </si>
  <si>
    <t>Musoma</t>
  </si>
  <si>
    <t>Musoma MC</t>
  </si>
  <si>
    <t>Rorya</t>
  </si>
  <si>
    <t>Serengeti</t>
  </si>
  <si>
    <t>Tarime</t>
  </si>
  <si>
    <t>Tarime TC</t>
  </si>
  <si>
    <t>Busokelo</t>
  </si>
  <si>
    <t>Chunya</t>
  </si>
  <si>
    <t>Kyela</t>
  </si>
  <si>
    <t>Mbarali</t>
  </si>
  <si>
    <t>Mbeya</t>
  </si>
  <si>
    <t>Mbeya CC</t>
  </si>
  <si>
    <t>Rungwe</t>
  </si>
  <si>
    <t>Gairo</t>
  </si>
  <si>
    <t>Ifakara TC</t>
  </si>
  <si>
    <t>Kilombero</t>
  </si>
  <si>
    <t>Kilosa</t>
  </si>
  <si>
    <t>Malinyi</t>
  </si>
  <si>
    <t>Morogoro</t>
  </si>
  <si>
    <t>Morogoro MC</t>
  </si>
  <si>
    <t>Mvomero</t>
  </si>
  <si>
    <t>Ulanga</t>
  </si>
  <si>
    <t>Masasi</t>
  </si>
  <si>
    <t>Masasi TC</t>
  </si>
  <si>
    <t>Mtwara</t>
  </si>
  <si>
    <t>Mtwara Mikindani MC</t>
  </si>
  <si>
    <t>Nanyamba TC</t>
  </si>
  <si>
    <t>Nanyumbu</t>
  </si>
  <si>
    <t>Newala</t>
  </si>
  <si>
    <t>Newala TC</t>
  </si>
  <si>
    <t>Tandahimba</t>
  </si>
  <si>
    <t>Buchosa</t>
  </si>
  <si>
    <t>Ilemela MC</t>
  </si>
  <si>
    <t>Kwimba</t>
  </si>
  <si>
    <t>Magu</t>
  </si>
  <si>
    <t>Misungwi</t>
  </si>
  <si>
    <t>Mwanza CC</t>
  </si>
  <si>
    <t>Sengerema</t>
  </si>
  <si>
    <t>Ukerewe</t>
  </si>
  <si>
    <t>Ludewa</t>
  </si>
  <si>
    <t>Makambako TC</t>
  </si>
  <si>
    <t>Makete</t>
  </si>
  <si>
    <t>Njombe</t>
  </si>
  <si>
    <t>Njombe TC</t>
  </si>
  <si>
    <t>Wanging'ombe</t>
  </si>
  <si>
    <t>Bagamoyo</t>
  </si>
  <si>
    <t>Chalinze</t>
  </si>
  <si>
    <t>Kibaha</t>
  </si>
  <si>
    <t>Kibaha TC</t>
  </si>
  <si>
    <t>Kibiti</t>
  </si>
  <si>
    <t>Kisarawe</t>
  </si>
  <si>
    <t>Mafia</t>
  </si>
  <si>
    <t>Mkuranga</t>
  </si>
  <si>
    <t>Rufiji</t>
  </si>
  <si>
    <t>Kalambo</t>
  </si>
  <si>
    <t>Nkasi</t>
  </si>
  <si>
    <t>Sumbawanga</t>
  </si>
  <si>
    <t>Sumbawanga MC</t>
  </si>
  <si>
    <t>Madaba</t>
  </si>
  <si>
    <t>Mbinga</t>
  </si>
  <si>
    <t>Mbinga TC</t>
  </si>
  <si>
    <t>Namtumbo</t>
  </si>
  <si>
    <t>Nyasa</t>
  </si>
  <si>
    <t>Songea</t>
  </si>
  <si>
    <t>Songea MC</t>
  </si>
  <si>
    <t>Tunduru</t>
  </si>
  <si>
    <t>Kahama TC</t>
  </si>
  <si>
    <t>Kishapu</t>
  </si>
  <si>
    <t>Msalala</t>
  </si>
  <si>
    <t>Shinyanga</t>
  </si>
  <si>
    <t>Shinyanga MC</t>
  </si>
  <si>
    <t>Ushetu</t>
  </si>
  <si>
    <t>Bariadi</t>
  </si>
  <si>
    <t>Bariadi TC</t>
  </si>
  <si>
    <t>Busega</t>
  </si>
  <si>
    <t>Itilima</t>
  </si>
  <si>
    <t>Maswa</t>
  </si>
  <si>
    <t>Meatu</t>
  </si>
  <si>
    <t>Ikungi</t>
  </si>
  <si>
    <t>Iramba</t>
  </si>
  <si>
    <t>Itigi</t>
  </si>
  <si>
    <t>Manyoni</t>
  </si>
  <si>
    <t>Mkalama</t>
  </si>
  <si>
    <t>Singida</t>
  </si>
  <si>
    <t>Singida MC</t>
  </si>
  <si>
    <t>Ileje</t>
  </si>
  <si>
    <t>Mbozi</t>
  </si>
  <si>
    <t>Momba</t>
  </si>
  <si>
    <t>Songwe</t>
  </si>
  <si>
    <t>Tunduma TC</t>
  </si>
  <si>
    <t>Igunga</t>
  </si>
  <si>
    <t>Kaliua</t>
  </si>
  <si>
    <t>Nzega</t>
  </si>
  <si>
    <t>Nzega TC</t>
  </si>
  <si>
    <t>Sikonge</t>
  </si>
  <si>
    <t>Tabora MC</t>
  </si>
  <si>
    <t>Tabora/Uyui</t>
  </si>
  <si>
    <t>Urambo</t>
  </si>
  <si>
    <t>Bumbuli</t>
  </si>
  <si>
    <t>Handeni</t>
  </si>
  <si>
    <t>Handeni TC</t>
  </si>
  <si>
    <t>Kilindi</t>
  </si>
  <si>
    <t>Korogwe</t>
  </si>
  <si>
    <t>Korogwe TC</t>
  </si>
  <si>
    <t>Lushoto</t>
  </si>
  <si>
    <t>Mkinga</t>
  </si>
  <si>
    <t>Muheza</t>
  </si>
  <si>
    <t>Pangani</t>
  </si>
  <si>
    <t>Tanga CC</t>
  </si>
  <si>
    <t xml:space="preserve">sum of pupils </t>
  </si>
  <si>
    <t>(Boys and Girls)</t>
  </si>
  <si>
    <t xml:space="preserve">      Sum of Teachers</t>
  </si>
  <si>
    <t>(Male  and Female)</t>
  </si>
  <si>
    <t xml:space="preserve">           Total no of teachers</t>
  </si>
  <si>
    <t>TPR  =Total no pupils</t>
  </si>
  <si>
    <t xml:space="preserve">RATIO = sum of pupils /sum of </t>
  </si>
  <si>
    <t>teachers</t>
  </si>
  <si>
    <t xml:space="preserve">TPR categorical of </t>
  </si>
  <si>
    <t>data</t>
  </si>
  <si>
    <t>39386</t>
  </si>
  <si>
    <t>Column1</t>
  </si>
  <si>
    <t>Column2</t>
  </si>
  <si>
    <t>Column3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</si>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</sst>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DD244F-94EF-442B-943B-B9D7207E9B1A}" name="Table1" displayName="Table1" ref="A1:K187" totalsRowCount="1">
  <autoFilter ref="A1:K186" xr:uid="{BEDD244F-94EF-442B-943B-B9D7207E9B1A}"/>
  <sortState xmlns:xlrd2="http://schemas.microsoft.com/office/spreadsheetml/2017/richdata2" ref="A2:K186">
    <sortCondition ref="H2:H186"/>
    <sortCondition ref="C2:C186"/>
  </sortState>
  <tableColumns count="11">
    <tableColumn id="1" xr3:uid="{04D68ECD-C41D-4BB4-9E93-665C8B88555C}" name="Arusha" totalsRowLabel="Total"/>
    <tableColumn id="2" xr3:uid="{8C485C56-11B3-4E9A-90D3-7D87F33F2ECD}" name="39386"/>
    <tableColumn id="3" xr3:uid="{2CCAD292-BE32-4DAE-A27D-152ACEA27E88}" name="Column1"/>
    <tableColumn id="4" xr3:uid="{B53DE93A-A430-4764-9B57-967A3D50E514}" name="Number of Teachers"/>
    <tableColumn id="5" xr3:uid="{F0210A2B-8F47-4174-AFE7-087D32871930}" name="Column2"/>
    <tableColumn id="6" xr3:uid="{381BD33F-60C6-4345-AD12-2501CBDF8248}" name="sum of pupils ">
      <calculatedColumnFormula>SUM(A2:C2)</calculatedColumnFormula>
    </tableColumn>
    <tableColumn id="7" xr3:uid="{8CB0F99F-C94F-4804-B064-8C634F34F110}" name="      Sum of Teachers">
      <calculatedColumnFormula>SUM(D2:E2)</calculatedColumnFormula>
    </tableColumn>
    <tableColumn id="8" xr3:uid="{D46EC8B2-4654-446C-9299-7CE5C40CB652}" name="TPR  =Total no pupils">
      <calculatedColumnFormula>F2/G2</calculatedColumnFormula>
    </tableColumn>
    <tableColumn id="9" xr3:uid="{0093A616-289A-4EF0-91F2-20E80B08023D}" name="RATIO = sum of pupils /sum of ">
      <calculatedColumnFormula>"1:"&amp;INT(F2/G2)</calculatedColumnFormula>
    </tableColumn>
    <tableColumn id="10" xr3:uid="{EA0B9EA8-94F7-4180-8A92-9D14C68C4F44}" name="TPR categorical of ">
      <calculatedColumnFormula>IF(H2&lt;=35,"Adequate",IF(H2&lt;=45,"Moderate","critical"))</calculatedColumnFormula>
    </tableColumn>
    <tableColumn id="11" xr3:uid="{0FC1F1C0-CB2C-4599-B6DA-B52BD0E299A4}" name="Column3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A68CB-882A-4C57-BE1E-5F0CBCF3C183}">
  <dimension ref="A1:K187"/>
  <sheetViews>
    <sheetView tabSelected="1" zoomScale="72" zoomScaleNormal="130" workbookViewId="0">
      <selection activeCell="A2" sqref="A2:K186"/>
    </sheetView>
  </sheetViews>
  <sheetFormatPr defaultRowHeight="14.4" x14ac:dyDescent="0.3"/>
  <cols>
    <col min="1" max="1" width="20.5546875" bestFit="1" customWidth="1"/>
    <col min="2" max="2" width="16.5546875" bestFit="1" customWidth="1"/>
    <col min="3" max="3" width="10.44140625" customWidth="1"/>
    <col min="4" max="4" width="19.77734375" customWidth="1"/>
    <col min="5" max="5" width="10.44140625" customWidth="1"/>
    <col min="6" max="6" width="27.21875" customWidth="1"/>
    <col min="7" max="7" width="26" customWidth="1"/>
    <col min="8" max="8" width="26.77734375" customWidth="1"/>
    <col min="9" max="9" width="28.88671875" customWidth="1"/>
    <col min="10" max="10" width="44.109375" customWidth="1"/>
    <col min="11" max="11" width="10.44140625" customWidth="1"/>
  </cols>
  <sheetData>
    <row r="1" spans="1:11" x14ac:dyDescent="0.3">
      <c r="A1" t="s">
        <v>7</v>
      </c>
      <c r="B1" t="s">
        <v>201</v>
      </c>
      <c r="C1" t="s">
        <v>202</v>
      </c>
      <c r="D1" t="s">
        <v>2</v>
      </c>
      <c r="E1" t="s">
        <v>203</v>
      </c>
      <c r="F1" t="s">
        <v>191</v>
      </c>
      <c r="G1" t="s">
        <v>193</v>
      </c>
      <c r="H1" s="1" t="s">
        <v>196</v>
      </c>
      <c r="I1" t="s">
        <v>197</v>
      </c>
      <c r="J1" t="s">
        <v>199</v>
      </c>
      <c r="K1" t="s">
        <v>204</v>
      </c>
    </row>
    <row r="2" spans="1:11" x14ac:dyDescent="0.3">
      <c r="B2" t="s">
        <v>3</v>
      </c>
      <c r="C2">
        <v>31524</v>
      </c>
      <c r="D2">
        <v>635</v>
      </c>
      <c r="E2">
        <v>1094</v>
      </c>
      <c r="F2">
        <f>SUM(A2:C2)</f>
        <v>31524</v>
      </c>
      <c r="G2">
        <f>SUM(D2:E2)</f>
        <v>1729</v>
      </c>
      <c r="H2">
        <f>F2/G2</f>
        <v>18.232504337767494</v>
      </c>
      <c r="I2" t="str">
        <f>"1:"&amp;INT(F2/G2)</f>
        <v>1:18</v>
      </c>
      <c r="J2" t="str">
        <f>IF(H2&lt;=35,"Adequate",IF(H2&lt;=45,"Moderate","critical"))</f>
        <v>Adequate</v>
      </c>
    </row>
    <row r="3" spans="1:11" x14ac:dyDescent="0.3">
      <c r="A3" t="s">
        <v>73</v>
      </c>
      <c r="B3">
        <v>10730</v>
      </c>
      <c r="C3">
        <v>50443</v>
      </c>
      <c r="D3">
        <v>999</v>
      </c>
      <c r="E3">
        <v>1862</v>
      </c>
      <c r="F3">
        <f>SUM(A3:C3)</f>
        <v>61173</v>
      </c>
      <c r="G3">
        <f>SUM(D3:E3)</f>
        <v>2861</v>
      </c>
      <c r="H3">
        <f>F3/G3</f>
        <v>21.381684725620413</v>
      </c>
      <c r="I3" t="str">
        <f>"1:"&amp;INT(F3/G3)</f>
        <v>1:21</v>
      </c>
      <c r="J3" t="str">
        <f>IF(H3&lt;=35,"Adequate",IF(H3&lt;=45,"Moderate","critical"))</f>
        <v>Adequate</v>
      </c>
    </row>
    <row r="4" spans="1:11" x14ac:dyDescent="0.3">
      <c r="A4" t="s">
        <v>123</v>
      </c>
      <c r="B4">
        <v>10159</v>
      </c>
      <c r="C4">
        <v>45265</v>
      </c>
      <c r="D4">
        <v>715</v>
      </c>
      <c r="E4">
        <v>1421</v>
      </c>
      <c r="F4">
        <f>SUM(A4:C4)</f>
        <v>55424</v>
      </c>
      <c r="G4">
        <f>SUM(D4:E4)</f>
        <v>2136</v>
      </c>
      <c r="H4">
        <f>F4/G4</f>
        <v>25.94756554307116</v>
      </c>
      <c r="I4" t="str">
        <f>"1:"&amp;INT(F4/G4)</f>
        <v>1:25</v>
      </c>
      <c r="J4" t="str">
        <f>IF(H4&lt;=35,"Adequate",IF(H4&lt;=45,"Moderate","critical"))</f>
        <v>Adequate</v>
      </c>
    </row>
    <row r="5" spans="1:11" x14ac:dyDescent="0.3">
      <c r="A5" t="s">
        <v>131</v>
      </c>
      <c r="B5">
        <v>20464</v>
      </c>
      <c r="C5">
        <v>35531</v>
      </c>
      <c r="D5">
        <v>685</v>
      </c>
      <c r="E5">
        <v>1379</v>
      </c>
      <c r="F5">
        <f>SUM(A5:C5)</f>
        <v>55995</v>
      </c>
      <c r="G5">
        <f>SUM(D5:E5)</f>
        <v>2064</v>
      </c>
      <c r="H5">
        <f>F5/G5</f>
        <v>27.129360465116278</v>
      </c>
      <c r="I5" t="str">
        <f>"1:"&amp;INT(F5/G5)</f>
        <v>1:27</v>
      </c>
      <c r="J5" t="str">
        <f>IF(H5&lt;=35,"Adequate",IF(H5&lt;=45,"Moderate","critical"))</f>
        <v>Adequate</v>
      </c>
    </row>
    <row r="6" spans="1:11" x14ac:dyDescent="0.3">
      <c r="A6" t="s">
        <v>99</v>
      </c>
      <c r="B6">
        <v>14913</v>
      </c>
      <c r="C6">
        <v>25878</v>
      </c>
      <c r="D6">
        <v>708</v>
      </c>
      <c r="E6">
        <v>784</v>
      </c>
      <c r="F6">
        <f>SUM(A6:C6)</f>
        <v>40791</v>
      </c>
      <c r="G6">
        <f>SUM(D6:E6)</f>
        <v>1492</v>
      </c>
      <c r="H6">
        <f>F6/G6</f>
        <v>27.339812332439678</v>
      </c>
      <c r="I6" t="str">
        <f>"1:"&amp;INT(F6/G6)</f>
        <v>1:27</v>
      </c>
      <c r="J6" t="str">
        <f>IF(H6&lt;=35,"Adequate",IF(H6&lt;=45,"Moderate","critical"))</f>
        <v>Adequate</v>
      </c>
    </row>
    <row r="7" spans="1:11" x14ac:dyDescent="0.3">
      <c r="A7" t="s">
        <v>40</v>
      </c>
      <c r="B7">
        <v>13369</v>
      </c>
      <c r="C7">
        <v>99924</v>
      </c>
      <c r="D7">
        <v>1141</v>
      </c>
      <c r="E7">
        <v>2886</v>
      </c>
      <c r="F7">
        <f>SUM(A7:C7)</f>
        <v>113293</v>
      </c>
      <c r="G7">
        <f>SUM(D7:E7)</f>
        <v>4027</v>
      </c>
      <c r="H7">
        <f>F7/G7</f>
        <v>28.133349888254283</v>
      </c>
      <c r="I7" t="str">
        <f>"1:"&amp;INT(F7/G7)</f>
        <v>1:28</v>
      </c>
      <c r="J7" t="str">
        <f>IF(H7&lt;=35,"Adequate",IF(H7&lt;=45,"Moderate","critical"))</f>
        <v>Adequate</v>
      </c>
    </row>
    <row r="8" spans="1:11" x14ac:dyDescent="0.3">
      <c r="A8" t="s">
        <v>39</v>
      </c>
      <c r="B8">
        <v>36416</v>
      </c>
      <c r="C8">
        <v>57595</v>
      </c>
      <c r="D8">
        <v>1069</v>
      </c>
      <c r="E8">
        <v>2199</v>
      </c>
      <c r="F8">
        <f>SUM(A8:C8)</f>
        <v>94011</v>
      </c>
      <c r="G8">
        <f>SUM(D8:E8)</f>
        <v>3268</v>
      </c>
      <c r="H8">
        <f>F8/G8</f>
        <v>28.767135862913097</v>
      </c>
      <c r="I8" t="str">
        <f>"1:"&amp;INT(F8/G8)</f>
        <v>1:28</v>
      </c>
      <c r="J8" t="str">
        <f>IF(H8&lt;=35,"Adequate",IF(H8&lt;=45,"Moderate","critical"))</f>
        <v>Adequate</v>
      </c>
    </row>
    <row r="9" spans="1:11" x14ac:dyDescent="0.3">
      <c r="A9" t="s">
        <v>27</v>
      </c>
      <c r="B9">
        <v>46049</v>
      </c>
      <c r="C9">
        <v>64100</v>
      </c>
      <c r="D9">
        <v>1194</v>
      </c>
      <c r="E9">
        <v>2531</v>
      </c>
      <c r="F9">
        <f>SUM(A9:C9)</f>
        <v>110149</v>
      </c>
      <c r="G9">
        <f>SUM(D9:E9)</f>
        <v>3725</v>
      </c>
      <c r="H9">
        <f>F9/G9</f>
        <v>29.57020134228188</v>
      </c>
      <c r="I9" t="str">
        <f>"1:"&amp;INT(F9/G9)</f>
        <v>1:29</v>
      </c>
      <c r="J9" t="str">
        <f>IF(H9&lt;=35,"Adequate",IF(H9&lt;=45,"Moderate","critical"))</f>
        <v>Adequate</v>
      </c>
    </row>
    <row r="10" spans="1:11" x14ac:dyDescent="0.3">
      <c r="A10" t="s">
        <v>113</v>
      </c>
      <c r="B10">
        <v>48531</v>
      </c>
      <c r="C10">
        <v>132356</v>
      </c>
      <c r="D10">
        <v>1926</v>
      </c>
      <c r="E10">
        <v>4142</v>
      </c>
      <c r="F10">
        <f>SUM(A10:C10)</f>
        <v>180887</v>
      </c>
      <c r="G10">
        <f>SUM(D10:E10)</f>
        <v>6068</v>
      </c>
      <c r="H10">
        <f>F10/G10</f>
        <v>29.809986816084376</v>
      </c>
      <c r="I10" t="str">
        <f>"1:"&amp;INT(F10/G10)</f>
        <v>1:29</v>
      </c>
      <c r="J10" t="str">
        <f>IF(H10&lt;=35,"Adequate",IF(H10&lt;=45,"Moderate","critical"))</f>
        <v>Adequate</v>
      </c>
    </row>
    <row r="11" spans="1:11" x14ac:dyDescent="0.3">
      <c r="A11" t="s">
        <v>0</v>
      </c>
      <c r="B11" t="s">
        <v>1</v>
      </c>
      <c r="C11">
        <v>37676</v>
      </c>
      <c r="D11">
        <v>580</v>
      </c>
      <c r="E11">
        <v>680</v>
      </c>
      <c r="F11">
        <f>SUM(A11:C11)</f>
        <v>37676</v>
      </c>
      <c r="G11">
        <f>SUM(D11:E11)</f>
        <v>1260</v>
      </c>
      <c r="H11">
        <f>F11/G11</f>
        <v>29.901587301587302</v>
      </c>
      <c r="I11" t="str">
        <f>"1:"&amp;INT(F11/G11)</f>
        <v>1:29</v>
      </c>
      <c r="J11" t="str">
        <f>IF(H11&lt;=35,"Adequate",IF(H11&lt;=45,"Moderate","critical"))</f>
        <v>Adequate</v>
      </c>
    </row>
    <row r="12" spans="1:11" x14ac:dyDescent="0.3">
      <c r="A12" t="s">
        <v>93</v>
      </c>
      <c r="B12">
        <v>44108</v>
      </c>
      <c r="C12">
        <v>38392</v>
      </c>
      <c r="D12">
        <v>747</v>
      </c>
      <c r="E12">
        <v>1839</v>
      </c>
      <c r="F12">
        <f>SUM(A12:C12)</f>
        <v>82500</v>
      </c>
      <c r="G12">
        <f>SUM(D12:E12)</f>
        <v>2586</v>
      </c>
      <c r="H12">
        <f>F12/G12</f>
        <v>31.902552204176335</v>
      </c>
      <c r="I12" t="str">
        <f>"1:"&amp;INT(F12/G12)</f>
        <v>1:31</v>
      </c>
      <c r="J12" t="str">
        <f>IF(H12&lt;=35,"Adequate",IF(H12&lt;=45,"Moderate","critical"))</f>
        <v>Adequate</v>
      </c>
    </row>
    <row r="13" spans="1:11" x14ac:dyDescent="0.3">
      <c r="A13" t="s">
        <v>100</v>
      </c>
      <c r="B13">
        <v>36821</v>
      </c>
      <c r="C13">
        <v>59785</v>
      </c>
      <c r="D13">
        <v>1067</v>
      </c>
      <c r="E13">
        <v>1909</v>
      </c>
      <c r="F13">
        <f>SUM(A13:C13)</f>
        <v>96606</v>
      </c>
      <c r="G13">
        <f>SUM(D13:E13)</f>
        <v>2976</v>
      </c>
      <c r="H13">
        <f>F13/G13</f>
        <v>32.461693548387096</v>
      </c>
      <c r="I13" t="str">
        <f>"1:"&amp;INT(F13/G13)</f>
        <v>1:32</v>
      </c>
      <c r="J13" t="str">
        <f>IF(H13&lt;=35,"Adequate",IF(H13&lt;=45,"Moderate","critical"))</f>
        <v>Adequate</v>
      </c>
    </row>
    <row r="14" spans="1:11" x14ac:dyDescent="0.3">
      <c r="A14" t="s">
        <v>125</v>
      </c>
      <c r="B14">
        <v>16383</v>
      </c>
      <c r="C14">
        <v>26772</v>
      </c>
      <c r="D14">
        <v>468</v>
      </c>
      <c r="E14">
        <v>841</v>
      </c>
      <c r="F14">
        <f>SUM(A14:C14)</f>
        <v>43155</v>
      </c>
      <c r="G14">
        <f>SUM(D14:E14)</f>
        <v>1309</v>
      </c>
      <c r="H14">
        <f>F14/G14</f>
        <v>32.967914438502675</v>
      </c>
      <c r="I14" t="str">
        <f>"1:"&amp;INT(F14/G14)</f>
        <v>1:32</v>
      </c>
      <c r="J14" t="str">
        <f>IF(H14&lt;=35,"Adequate",IF(H14&lt;=45,"Moderate","critical"))</f>
        <v>Adequate</v>
      </c>
    </row>
    <row r="15" spans="1:11" x14ac:dyDescent="0.3">
      <c r="A15" t="s">
        <v>106</v>
      </c>
      <c r="B15">
        <v>14798</v>
      </c>
      <c r="C15">
        <v>17139</v>
      </c>
      <c r="D15">
        <v>323</v>
      </c>
      <c r="E15">
        <v>639</v>
      </c>
      <c r="F15">
        <f>SUM(A15:C15)</f>
        <v>31937</v>
      </c>
      <c r="G15">
        <f>SUM(D15:E15)</f>
        <v>962</v>
      </c>
      <c r="H15">
        <f>F15/G15</f>
        <v>33.198544698544701</v>
      </c>
      <c r="I15" t="str">
        <f>"1:"&amp;INT(F15/G15)</f>
        <v>1:33</v>
      </c>
      <c r="J15" t="str">
        <f>IF(H15&lt;=35,"Adequate",IF(H15&lt;=45,"Moderate","critical"))</f>
        <v>Adequate</v>
      </c>
    </row>
    <row r="16" spans="1:11" x14ac:dyDescent="0.3">
      <c r="A16" t="s">
        <v>140</v>
      </c>
      <c r="B16">
        <v>5517</v>
      </c>
      <c r="C16">
        <v>10020</v>
      </c>
      <c r="D16">
        <v>285</v>
      </c>
      <c r="E16">
        <v>177</v>
      </c>
      <c r="F16">
        <f>SUM(A16:C16)</f>
        <v>15537</v>
      </c>
      <c r="G16">
        <f>SUM(D16:E16)</f>
        <v>462</v>
      </c>
      <c r="H16">
        <f>F16/G16</f>
        <v>33.629870129870127</v>
      </c>
      <c r="I16" t="str">
        <f>"1:"&amp;INT(F16/G16)</f>
        <v>1:33</v>
      </c>
      <c r="J16" t="str">
        <f>IF(H16&lt;=35,"Adequate",IF(H16&lt;=45,"Moderate","critical"))</f>
        <v>Adequate</v>
      </c>
    </row>
    <row r="17" spans="1:11" x14ac:dyDescent="0.3">
      <c r="A17" t="s">
        <v>130</v>
      </c>
      <c r="B17">
        <v>21066</v>
      </c>
      <c r="C17">
        <v>18270</v>
      </c>
      <c r="D17">
        <v>371</v>
      </c>
      <c r="E17">
        <v>777</v>
      </c>
      <c r="F17">
        <f>SUM(A17:C17)</f>
        <v>39336</v>
      </c>
      <c r="G17">
        <f>SUM(D17:E17)</f>
        <v>1148</v>
      </c>
      <c r="H17">
        <f>F17/G17</f>
        <v>34.264808362369337</v>
      </c>
      <c r="I17" t="str">
        <f>"1:"&amp;INT(F17/G17)</f>
        <v>1:34</v>
      </c>
      <c r="J17" t="str">
        <f>IF(H17&lt;=35,"Adequate",IF(H17&lt;=45,"Moderate","critical"))</f>
        <v>Adequate</v>
      </c>
    </row>
    <row r="18" spans="1:11" x14ac:dyDescent="0.3">
      <c r="A18" t="s">
        <v>122</v>
      </c>
      <c r="B18">
        <v>13099</v>
      </c>
      <c r="C18">
        <v>38027</v>
      </c>
      <c r="D18">
        <v>671</v>
      </c>
      <c r="E18">
        <v>797</v>
      </c>
      <c r="F18">
        <f>SUM(A18:C18)</f>
        <v>51126</v>
      </c>
      <c r="G18">
        <f>SUM(D18:E18)</f>
        <v>1468</v>
      </c>
      <c r="H18">
        <f>F18/G18</f>
        <v>34.826975476839237</v>
      </c>
      <c r="I18" t="str">
        <f>"1:"&amp;INT(F18/G18)</f>
        <v>1:34</v>
      </c>
      <c r="J18" t="str">
        <f>IF(H18&lt;=35,"Adequate",IF(H18&lt;=45,"Moderate","critical"))</f>
        <v>Adequate</v>
      </c>
    </row>
    <row r="19" spans="1:11" x14ac:dyDescent="0.3">
      <c r="A19" t="s">
        <v>154</v>
      </c>
      <c r="B19">
        <v>39384</v>
      </c>
      <c r="C19">
        <v>28519</v>
      </c>
      <c r="D19">
        <v>724</v>
      </c>
      <c r="E19">
        <v>1185</v>
      </c>
      <c r="F19">
        <f>SUM(A19:C19)</f>
        <v>67903</v>
      </c>
      <c r="G19">
        <f>SUM(D19:E19)</f>
        <v>1909</v>
      </c>
      <c r="H19">
        <f>F19/G19</f>
        <v>35.569931901519119</v>
      </c>
      <c r="I19" t="str">
        <f>"1:"&amp;INT(F19/G19)</f>
        <v>1:35</v>
      </c>
      <c r="J19" t="str">
        <f>IF(H19&lt;=35,"Adequate",IF(H19&lt;=45,"Moderate","critical"))</f>
        <v>Moderate</v>
      </c>
    </row>
    <row r="20" spans="1:11" x14ac:dyDescent="0.3">
      <c r="A20" t="s">
        <v>156</v>
      </c>
      <c r="B20">
        <v>35938</v>
      </c>
      <c r="C20">
        <v>57775</v>
      </c>
      <c r="D20">
        <v>849</v>
      </c>
      <c r="E20">
        <v>1770</v>
      </c>
      <c r="F20">
        <f>SUM(A20:C20)</f>
        <v>93713</v>
      </c>
      <c r="G20">
        <f>SUM(D20:E20)</f>
        <v>2619</v>
      </c>
      <c r="H20">
        <f>F20/G20</f>
        <v>35.781977854142802</v>
      </c>
      <c r="I20" t="str">
        <f>"1:"&amp;INT(F20/G20)</f>
        <v>1:35</v>
      </c>
      <c r="J20" t="str">
        <f>IF(H20&lt;=35,"Adequate",IF(H20&lt;=45,"Moderate","critical"))</f>
        <v>Moderate</v>
      </c>
    </row>
    <row r="21" spans="1:11" x14ac:dyDescent="0.3">
      <c r="A21" t="s">
        <v>59</v>
      </c>
      <c r="B21">
        <v>18857</v>
      </c>
      <c r="C21">
        <v>26430</v>
      </c>
      <c r="D21">
        <v>654</v>
      </c>
      <c r="E21">
        <v>585</v>
      </c>
      <c r="F21">
        <f>SUM(A21:C21)</f>
        <v>45287</v>
      </c>
      <c r="G21">
        <f>SUM(D21:E21)</f>
        <v>1239</v>
      </c>
      <c r="H21">
        <f>F21/G21</f>
        <v>36.551251008878126</v>
      </c>
      <c r="I21" t="str">
        <f>"1:"&amp;INT(F21/G21)</f>
        <v>1:36</v>
      </c>
      <c r="J21" t="str">
        <f>IF(H21&lt;=35,"Adequate",IF(H21&lt;=45,"Moderate","critical"))</f>
        <v>Moderate</v>
      </c>
    </row>
    <row r="22" spans="1:11" x14ac:dyDescent="0.3">
      <c r="A22" t="s">
        <v>188</v>
      </c>
      <c r="B22">
        <v>23849</v>
      </c>
      <c r="C22">
        <v>20813</v>
      </c>
      <c r="D22">
        <v>379</v>
      </c>
      <c r="E22">
        <v>836</v>
      </c>
      <c r="F22">
        <f>SUM(A22:C22)</f>
        <v>44662</v>
      </c>
      <c r="G22">
        <f>SUM(D22:E22)</f>
        <v>1215</v>
      </c>
      <c r="H22">
        <f>F22/G22</f>
        <v>36.758847736625512</v>
      </c>
      <c r="I22" t="str">
        <f>"1:"&amp;INT(F22/G22)</f>
        <v>1:36</v>
      </c>
      <c r="J22" t="str">
        <f>IF(H22&lt;=35,"Adequate",IF(H22&lt;=45,"Moderate","critical"))</f>
        <v>Moderate</v>
      </c>
    </row>
    <row r="23" spans="1:11" x14ac:dyDescent="0.3">
      <c r="A23" t="s">
        <v>108</v>
      </c>
      <c r="B23">
        <v>11341</v>
      </c>
      <c r="C23">
        <v>30828</v>
      </c>
      <c r="D23">
        <v>541</v>
      </c>
      <c r="E23">
        <v>605</v>
      </c>
      <c r="F23">
        <f>SUM(A23:C23)</f>
        <v>42169</v>
      </c>
      <c r="G23">
        <f>SUM(D23:E23)</f>
        <v>1146</v>
      </c>
      <c r="H23">
        <f>F23/G23</f>
        <v>36.796684118673646</v>
      </c>
      <c r="I23" t="str">
        <f>"1:"&amp;INT(F23/G23)</f>
        <v>1:36</v>
      </c>
      <c r="J23" t="str">
        <f>IF(H23&lt;=35,"Adequate",IF(H23&lt;=45,"Moderate","critical"))</f>
        <v>Moderate</v>
      </c>
    </row>
    <row r="24" spans="1:11" x14ac:dyDescent="0.3">
      <c r="A24" t="s">
        <v>166</v>
      </c>
      <c r="B24">
        <v>22492</v>
      </c>
      <c r="C24">
        <v>52872</v>
      </c>
      <c r="D24">
        <v>978</v>
      </c>
      <c r="E24">
        <v>1045</v>
      </c>
      <c r="F24">
        <f>SUM(A24:C24)</f>
        <v>75364</v>
      </c>
      <c r="G24">
        <f>SUM(D24:E24)</f>
        <v>2023</v>
      </c>
      <c r="H24">
        <f>F24/G24</f>
        <v>37.253583786455756</v>
      </c>
      <c r="I24" t="str">
        <f>"1:"&amp;INT(F24/G24)</f>
        <v>1:37</v>
      </c>
      <c r="J24" t="str">
        <f>IF(H24&lt;=35,"Adequate",IF(H24&lt;=45,"Moderate","critical"))</f>
        <v>Moderate</v>
      </c>
    </row>
    <row r="25" spans="1:11" x14ac:dyDescent="0.3">
      <c r="A25" t="s">
        <v>36</v>
      </c>
      <c r="B25">
        <v>10089</v>
      </c>
      <c r="C25">
        <v>24440</v>
      </c>
      <c r="D25">
        <v>476</v>
      </c>
      <c r="E25">
        <v>449</v>
      </c>
      <c r="F25">
        <f>SUM(A25:C25)</f>
        <v>34529</v>
      </c>
      <c r="G25">
        <f>SUM(D25:E25)</f>
        <v>925</v>
      </c>
      <c r="H25">
        <f>F25/G25</f>
        <v>37.328648648648645</v>
      </c>
      <c r="I25" t="str">
        <f>"1:"&amp;INT(F25/G25)</f>
        <v>1:37</v>
      </c>
      <c r="J25" t="str">
        <f>IF(H25&lt;=35,"Adequate",IF(H25&lt;=45,"Moderate","critical"))</f>
        <v>Moderate</v>
      </c>
    </row>
    <row r="26" spans="1:11" x14ac:dyDescent="0.3">
      <c r="A26" t="s">
        <v>127</v>
      </c>
      <c r="B26">
        <v>17075</v>
      </c>
      <c r="C26">
        <v>25402</v>
      </c>
      <c r="D26">
        <v>528</v>
      </c>
      <c r="E26">
        <v>605</v>
      </c>
      <c r="F26">
        <f>SUM(A26:C26)</f>
        <v>42477</v>
      </c>
      <c r="G26">
        <f>SUM(D26:E26)</f>
        <v>1133</v>
      </c>
      <c r="H26">
        <f>F26/G26</f>
        <v>37.490732568402471</v>
      </c>
      <c r="I26" t="str">
        <f>"1:"&amp;INT(F26/G26)</f>
        <v>1:37</v>
      </c>
      <c r="J26" t="str">
        <f>IF(H26&lt;=35,"Adequate",IF(H26&lt;=45,"Moderate","critical"))</f>
        <v>Moderate</v>
      </c>
      <c r="K26">
        <f>COUNTBLANK(A23:A208)</f>
        <v>21</v>
      </c>
    </row>
    <row r="27" spans="1:11" x14ac:dyDescent="0.3">
      <c r="A27" t="s">
        <v>107</v>
      </c>
      <c r="B27">
        <v>11347</v>
      </c>
      <c r="C27">
        <v>29395</v>
      </c>
      <c r="D27">
        <v>506</v>
      </c>
      <c r="E27">
        <v>556</v>
      </c>
      <c r="F27">
        <f>SUM(A27:C27)</f>
        <v>40742</v>
      </c>
      <c r="G27">
        <f>SUM(D27:E27)</f>
        <v>1062</v>
      </c>
      <c r="H27">
        <f>F27/G27</f>
        <v>38.363465160075329</v>
      </c>
      <c r="I27" t="str">
        <f>"1:"&amp;INT(F27/G27)</f>
        <v>1:38</v>
      </c>
      <c r="J27" t="str">
        <f>IF(H27&lt;=35,"Adequate",IF(H27&lt;=45,"Moderate","critical"))</f>
        <v>Moderate</v>
      </c>
    </row>
    <row r="28" spans="1:11" x14ac:dyDescent="0.3">
      <c r="A28" t="s">
        <v>46</v>
      </c>
      <c r="B28">
        <v>8298</v>
      </c>
      <c r="C28">
        <v>53999</v>
      </c>
      <c r="D28">
        <v>1012</v>
      </c>
      <c r="E28">
        <v>597</v>
      </c>
      <c r="F28">
        <f>SUM(A28:C28)</f>
        <v>62297</v>
      </c>
      <c r="G28">
        <f>SUM(D28:E28)</f>
        <v>1609</v>
      </c>
      <c r="H28">
        <f>F28/G28</f>
        <v>38.717837165941582</v>
      </c>
      <c r="I28" t="str">
        <f>"1:"&amp;INT(F28/G28)</f>
        <v>1:38</v>
      </c>
      <c r="J28" t="str">
        <f>IF(H28&lt;=35,"Adequate",IF(H28&lt;=45,"Moderate","critical"))</f>
        <v>Moderate</v>
      </c>
    </row>
    <row r="29" spans="1:11" x14ac:dyDescent="0.3">
      <c r="A29" t="s">
        <v>72</v>
      </c>
      <c r="B29">
        <v>38826</v>
      </c>
      <c r="C29">
        <v>40599</v>
      </c>
      <c r="D29">
        <v>719</v>
      </c>
      <c r="E29">
        <v>1313</v>
      </c>
      <c r="F29">
        <f>SUM(A29:C29)</f>
        <v>79425</v>
      </c>
      <c r="G29">
        <f>SUM(D29:E29)</f>
        <v>2032</v>
      </c>
      <c r="H29">
        <f>F29/G29</f>
        <v>39.0871062992126</v>
      </c>
      <c r="I29" t="str">
        <f>"1:"&amp;INT(F29/G29)</f>
        <v>1:39</v>
      </c>
      <c r="J29" t="str">
        <f>IF(H29&lt;=35,"Adequate",IF(H29&lt;=45,"Moderate","critical"))</f>
        <v>Moderate</v>
      </c>
    </row>
    <row r="30" spans="1:11" x14ac:dyDescent="0.3">
      <c r="A30" t="s">
        <v>185</v>
      </c>
      <c r="B30">
        <v>8240</v>
      </c>
      <c r="C30">
        <v>21164</v>
      </c>
      <c r="D30">
        <v>418</v>
      </c>
      <c r="E30">
        <v>331</v>
      </c>
      <c r="F30">
        <f>SUM(A30:C30)</f>
        <v>29404</v>
      </c>
      <c r="G30">
        <f>SUM(D30:E30)</f>
        <v>749</v>
      </c>
      <c r="H30">
        <f>F30/G30</f>
        <v>39.257676902536716</v>
      </c>
      <c r="I30" t="str">
        <f>"1:"&amp;INT(F30/G30)</f>
        <v>1:39</v>
      </c>
      <c r="J30" t="str">
        <f>IF(H30&lt;=35,"Adequate",IF(H30&lt;=45,"Moderate","critical"))</f>
        <v>Moderate</v>
      </c>
    </row>
    <row r="31" spans="1:11" x14ac:dyDescent="0.3">
      <c r="A31" t="s">
        <v>56</v>
      </c>
      <c r="B31">
        <v>29557</v>
      </c>
      <c r="C31">
        <v>22171</v>
      </c>
      <c r="D31">
        <v>540</v>
      </c>
      <c r="E31">
        <v>764</v>
      </c>
      <c r="F31">
        <f>SUM(A31:C31)</f>
        <v>51728</v>
      </c>
      <c r="G31">
        <f>SUM(D31:E31)</f>
        <v>1304</v>
      </c>
      <c r="H31">
        <f>F31/G31</f>
        <v>39.668711656441715</v>
      </c>
      <c r="I31" t="str">
        <f>"1:"&amp;INT(F31/G31)</f>
        <v>1:39</v>
      </c>
      <c r="J31" t="str">
        <f>IF(H31&lt;=35,"Adequate",IF(H31&lt;=45,"Moderate","critical"))</f>
        <v>Moderate</v>
      </c>
    </row>
    <row r="32" spans="1:11" x14ac:dyDescent="0.3">
      <c r="A32" t="s">
        <v>167</v>
      </c>
      <c r="B32">
        <v>11817</v>
      </c>
      <c r="C32">
        <v>23288</v>
      </c>
      <c r="D32">
        <v>523</v>
      </c>
      <c r="E32">
        <v>358</v>
      </c>
      <c r="F32">
        <f>SUM(A32:C32)</f>
        <v>35105</v>
      </c>
      <c r="G32">
        <f>SUM(D32:E32)</f>
        <v>881</v>
      </c>
      <c r="H32">
        <f>F32/G32</f>
        <v>39.846765039727579</v>
      </c>
      <c r="I32" t="str">
        <f>"1:"&amp;INT(F32/G32)</f>
        <v>1:39</v>
      </c>
      <c r="J32" t="str">
        <f>IF(H32&lt;=35,"Adequate",IF(H32&lt;=45,"Moderate","critical"))</f>
        <v>Moderate</v>
      </c>
    </row>
    <row r="33" spans="1:10" x14ac:dyDescent="0.3">
      <c r="A33" t="s">
        <v>57</v>
      </c>
      <c r="B33">
        <v>24493</v>
      </c>
      <c r="C33">
        <v>25184</v>
      </c>
      <c r="D33">
        <v>562</v>
      </c>
      <c r="E33">
        <v>661</v>
      </c>
      <c r="F33">
        <f>SUM(A33:C33)</f>
        <v>49677</v>
      </c>
      <c r="G33">
        <f>SUM(D33:E33)</f>
        <v>1223</v>
      </c>
      <c r="H33">
        <f>F33/G33</f>
        <v>40.61896974652494</v>
      </c>
      <c r="I33" t="str">
        <f>"1:"&amp;INT(F33/G33)</f>
        <v>1:40</v>
      </c>
      <c r="J33" t="str">
        <f>IF(H33&lt;=35,"Adequate",IF(H33&lt;=45,"Moderate","critical"))</f>
        <v>Moderate</v>
      </c>
    </row>
    <row r="34" spans="1:10" x14ac:dyDescent="0.3">
      <c r="A34" t="s">
        <v>68</v>
      </c>
      <c r="B34">
        <v>13904</v>
      </c>
      <c r="C34">
        <v>19433</v>
      </c>
      <c r="D34">
        <v>370</v>
      </c>
      <c r="E34">
        <v>444</v>
      </c>
      <c r="F34">
        <f>SUM(A34:C34)</f>
        <v>33337</v>
      </c>
      <c r="G34">
        <f>SUM(D34:E34)</f>
        <v>814</v>
      </c>
      <c r="H34">
        <f>F34/G34</f>
        <v>40.954545454545453</v>
      </c>
      <c r="I34" t="str">
        <f>"1:"&amp;INT(F34/G34)</f>
        <v>1:40</v>
      </c>
      <c r="J34" t="str">
        <f>IF(H34&lt;=35,"Adequate",IF(H34&lt;=45,"Moderate","critical"))</f>
        <v>Moderate</v>
      </c>
    </row>
    <row r="35" spans="1:10" x14ac:dyDescent="0.3">
      <c r="A35" t="s">
        <v>24</v>
      </c>
      <c r="B35">
        <v>7795</v>
      </c>
      <c r="C35">
        <v>25424</v>
      </c>
      <c r="D35">
        <v>464</v>
      </c>
      <c r="E35">
        <v>327</v>
      </c>
      <c r="F35">
        <f>SUM(A35:C35)</f>
        <v>33219</v>
      </c>
      <c r="G35">
        <f>SUM(D35:E35)</f>
        <v>791</v>
      </c>
      <c r="H35">
        <f>F35/G35</f>
        <v>41.996207332490521</v>
      </c>
      <c r="I35" t="str">
        <f>"1:"&amp;INT(F35/G35)</f>
        <v>1:41</v>
      </c>
      <c r="J35" t="str">
        <f>IF(H35&lt;=35,"Adequate",IF(H35&lt;=45,"Moderate","critical"))</f>
        <v>Moderate</v>
      </c>
    </row>
    <row r="36" spans="1:10" x14ac:dyDescent="0.3">
      <c r="A36" t="s">
        <v>69</v>
      </c>
      <c r="B36">
        <v>10557</v>
      </c>
      <c r="C36">
        <v>44510</v>
      </c>
      <c r="D36">
        <v>865</v>
      </c>
      <c r="E36">
        <v>445</v>
      </c>
      <c r="F36">
        <f>SUM(A36:C36)</f>
        <v>55067</v>
      </c>
      <c r="G36">
        <f>SUM(D36:E36)</f>
        <v>1310</v>
      </c>
      <c r="H36">
        <f>F36/G36</f>
        <v>42.03587786259542</v>
      </c>
      <c r="I36" t="str">
        <f>"1:"&amp;INT(F36/G36)</f>
        <v>1:42</v>
      </c>
      <c r="J36" t="str">
        <f>IF(H36&lt;=35,"Adequate",IF(H36&lt;=45,"Moderate","critical"))</f>
        <v>Moderate</v>
      </c>
    </row>
    <row r="37" spans="1:10" x14ac:dyDescent="0.3">
      <c r="A37" t="s">
        <v>111</v>
      </c>
      <c r="B37">
        <v>9719</v>
      </c>
      <c r="C37">
        <v>16252</v>
      </c>
      <c r="D37">
        <v>243</v>
      </c>
      <c r="E37">
        <v>368</v>
      </c>
      <c r="F37">
        <f>SUM(A37:C37)</f>
        <v>25971</v>
      </c>
      <c r="G37">
        <f>SUM(D37:E37)</f>
        <v>611</v>
      </c>
      <c r="H37">
        <f>F37/G37</f>
        <v>42.505728314238951</v>
      </c>
      <c r="I37" t="str">
        <f>"1:"&amp;INT(F37/G37)</f>
        <v>1:42</v>
      </c>
      <c r="J37" t="str">
        <f>IF(H37&lt;=35,"Adequate",IF(H37&lt;=45,"Moderate","critical"))</f>
        <v>Moderate</v>
      </c>
    </row>
    <row r="38" spans="1:10" x14ac:dyDescent="0.3">
      <c r="A38" t="s">
        <v>175</v>
      </c>
      <c r="B38">
        <v>11557</v>
      </c>
      <c r="C38">
        <v>22570</v>
      </c>
      <c r="D38">
        <v>292</v>
      </c>
      <c r="E38">
        <v>507</v>
      </c>
      <c r="F38">
        <f>SUM(A38:C38)</f>
        <v>34127</v>
      </c>
      <c r="G38">
        <f>SUM(D38:E38)</f>
        <v>799</v>
      </c>
      <c r="H38">
        <f>F38/G38</f>
        <v>42.712140175219027</v>
      </c>
      <c r="I38" t="str">
        <f>"1:"&amp;INT(F38/G38)</f>
        <v>1:42</v>
      </c>
      <c r="J38" t="str">
        <f>IF(H38&lt;=35,"Adequate",IF(H38&lt;=45,"Moderate","critical"))</f>
        <v>Moderate</v>
      </c>
    </row>
    <row r="39" spans="1:10" x14ac:dyDescent="0.3">
      <c r="A39" t="s">
        <v>134</v>
      </c>
      <c r="B39">
        <v>46292</v>
      </c>
      <c r="C39">
        <v>47668</v>
      </c>
      <c r="D39">
        <v>837</v>
      </c>
      <c r="E39">
        <v>1334</v>
      </c>
      <c r="F39">
        <f>SUM(A39:C39)</f>
        <v>93960</v>
      </c>
      <c r="G39">
        <f>SUM(D39:E39)</f>
        <v>2171</v>
      </c>
      <c r="H39">
        <f>F39/G39</f>
        <v>43.279594656840167</v>
      </c>
      <c r="I39" t="str">
        <f>"1:"&amp;INT(F39/G39)</f>
        <v>1:43</v>
      </c>
      <c r="J39" t="str">
        <f>IF(H39&lt;=35,"Adequate",IF(H39&lt;=45,"Moderate","critical"))</f>
        <v>Moderate</v>
      </c>
    </row>
    <row r="40" spans="1:10" x14ac:dyDescent="0.3">
      <c r="A40" t="s">
        <v>55</v>
      </c>
      <c r="B40">
        <v>31571</v>
      </c>
      <c r="C40">
        <v>15102</v>
      </c>
      <c r="D40">
        <v>263</v>
      </c>
      <c r="E40">
        <v>815</v>
      </c>
      <c r="F40">
        <f>SUM(A40:C40)</f>
        <v>46673</v>
      </c>
      <c r="G40">
        <f>SUM(D40:E40)</f>
        <v>1078</v>
      </c>
      <c r="H40">
        <f>F40/G40</f>
        <v>43.295918367346935</v>
      </c>
      <c r="I40" t="str">
        <f>"1:"&amp;INT(F40/G40)</f>
        <v>1:43</v>
      </c>
      <c r="J40" t="str">
        <f>IF(H40&lt;=35,"Adequate",IF(H40&lt;=45,"Moderate","critical"))</f>
        <v>Moderate</v>
      </c>
    </row>
    <row r="41" spans="1:10" x14ac:dyDescent="0.3">
      <c r="A41" t="s">
        <v>61</v>
      </c>
      <c r="B41">
        <v>15176</v>
      </c>
      <c r="C41">
        <v>15758</v>
      </c>
      <c r="D41">
        <v>417</v>
      </c>
      <c r="E41">
        <v>291</v>
      </c>
      <c r="F41">
        <f>SUM(A41:C41)</f>
        <v>30934</v>
      </c>
      <c r="G41">
        <f>SUM(D41:E41)</f>
        <v>708</v>
      </c>
      <c r="H41">
        <f>F41/G41</f>
        <v>43.692090395480228</v>
      </c>
      <c r="I41" t="str">
        <f>"1:"&amp;INT(F41/G41)</f>
        <v>1:43</v>
      </c>
      <c r="J41" t="str">
        <f>IF(H41&lt;=35,"Adequate",IF(H41&lt;=45,"Moderate","critical"))</f>
        <v>Moderate</v>
      </c>
    </row>
    <row r="42" spans="1:10" x14ac:dyDescent="0.3">
      <c r="A42" t="s">
        <v>50</v>
      </c>
      <c r="B42">
        <v>19427</v>
      </c>
      <c r="C42">
        <v>46713</v>
      </c>
      <c r="D42">
        <v>704</v>
      </c>
      <c r="E42">
        <v>793</v>
      </c>
      <c r="F42">
        <f>SUM(A42:C42)</f>
        <v>66140</v>
      </c>
      <c r="G42">
        <f>SUM(D42:E42)</f>
        <v>1497</v>
      </c>
      <c r="H42">
        <f>F42/G42</f>
        <v>44.18169672678691</v>
      </c>
      <c r="I42" t="str">
        <f>"1:"&amp;INT(F42/G42)</f>
        <v>1:44</v>
      </c>
      <c r="J42" t="str">
        <f>IF(H42&lt;=35,"Adequate",IF(H42&lt;=45,"Moderate","critical"))</f>
        <v>Moderate</v>
      </c>
    </row>
    <row r="43" spans="1:10" x14ac:dyDescent="0.3">
      <c r="A43" t="s">
        <v>71</v>
      </c>
      <c r="B43">
        <v>12612</v>
      </c>
      <c r="C43">
        <v>36411</v>
      </c>
      <c r="D43">
        <v>694</v>
      </c>
      <c r="E43">
        <v>407</v>
      </c>
      <c r="F43">
        <f>SUM(A43:C43)</f>
        <v>49023</v>
      </c>
      <c r="G43">
        <f>SUM(D43:E43)</f>
        <v>1101</v>
      </c>
      <c r="H43">
        <f>F43/G43</f>
        <v>44.525885558583106</v>
      </c>
      <c r="I43" t="str">
        <f>"1:"&amp;INT(F43/G43)</f>
        <v>1:44</v>
      </c>
      <c r="J43" t="str">
        <f>IF(H43&lt;=35,"Adequate",IF(H43&lt;=45,"Moderate","critical"))</f>
        <v>Moderate</v>
      </c>
    </row>
    <row r="44" spans="1:10" x14ac:dyDescent="0.3">
      <c r="A44" t="s">
        <v>12</v>
      </c>
      <c r="B44">
        <v>19273</v>
      </c>
      <c r="C44">
        <v>53483</v>
      </c>
      <c r="D44">
        <v>897</v>
      </c>
      <c r="E44">
        <v>721</v>
      </c>
      <c r="F44">
        <f>SUM(A44:C44)</f>
        <v>72756</v>
      </c>
      <c r="G44">
        <f>SUM(D44:E44)</f>
        <v>1618</v>
      </c>
      <c r="H44">
        <f>F44/G44</f>
        <v>44.96662546353523</v>
      </c>
      <c r="I44" t="str">
        <f>"1:"&amp;INT(F44/G44)</f>
        <v>1:44</v>
      </c>
      <c r="J44" t="str">
        <f>IF(H44&lt;=35,"Adequate",IF(H44&lt;=45,"Moderate","critical"))</f>
        <v>Moderate</v>
      </c>
    </row>
    <row r="45" spans="1:10" x14ac:dyDescent="0.3">
      <c r="A45" t="s">
        <v>182</v>
      </c>
      <c r="B45">
        <v>11122</v>
      </c>
      <c r="C45">
        <v>46003</v>
      </c>
      <c r="D45">
        <v>811</v>
      </c>
      <c r="E45">
        <v>451</v>
      </c>
      <c r="F45">
        <f>SUM(A45:C45)</f>
        <v>57125</v>
      </c>
      <c r="G45">
        <f>SUM(D45:E45)</f>
        <v>1262</v>
      </c>
      <c r="H45">
        <f>F45/G45</f>
        <v>45.265451664025356</v>
      </c>
      <c r="I45" t="str">
        <f>"1:"&amp;INT(F45/G45)</f>
        <v>1:45</v>
      </c>
      <c r="J45" t="str">
        <f>IF(H45&lt;=35,"Adequate",IF(H45&lt;=45,"Moderate","critical"))</f>
        <v>critical</v>
      </c>
    </row>
    <row r="46" spans="1:10" x14ac:dyDescent="0.3">
      <c r="A46" t="s">
        <v>132</v>
      </c>
      <c r="B46">
        <v>14852</v>
      </c>
      <c r="C46">
        <v>12954</v>
      </c>
      <c r="D46">
        <v>369</v>
      </c>
      <c r="E46">
        <v>244</v>
      </c>
      <c r="F46">
        <f>SUM(A46:C46)</f>
        <v>27806</v>
      </c>
      <c r="G46">
        <f>SUM(D46:E46)</f>
        <v>613</v>
      </c>
      <c r="H46">
        <f>F46/G46</f>
        <v>45.360522022838502</v>
      </c>
      <c r="I46" t="str">
        <f>"1:"&amp;INT(F46/G46)</f>
        <v>1:45</v>
      </c>
      <c r="J46" t="str">
        <f>IF(H46&lt;=35,"Adequate",IF(H46&lt;=45,"Moderate","critical"))</f>
        <v>critical</v>
      </c>
    </row>
    <row r="47" spans="1:10" x14ac:dyDescent="0.3">
      <c r="A47" t="s">
        <v>121</v>
      </c>
      <c r="B47">
        <v>15859</v>
      </c>
      <c r="C47">
        <v>48504</v>
      </c>
      <c r="D47">
        <v>965</v>
      </c>
      <c r="E47">
        <v>440</v>
      </c>
      <c r="F47">
        <f>SUM(A47:C47)</f>
        <v>64363</v>
      </c>
      <c r="G47">
        <f>SUM(D47:E47)</f>
        <v>1405</v>
      </c>
      <c r="H47">
        <f>F47/G47</f>
        <v>45.809964412811389</v>
      </c>
      <c r="I47" t="str">
        <f>"1:"&amp;INT(F47/G47)</f>
        <v>1:45</v>
      </c>
      <c r="J47" t="str">
        <f>IF(H47&lt;=35,"Adequate",IF(H47&lt;=45,"Moderate","critical"))</f>
        <v>critical</v>
      </c>
    </row>
    <row r="48" spans="1:10" x14ac:dyDescent="0.3">
      <c r="A48" t="s">
        <v>10</v>
      </c>
      <c r="B48">
        <v>14456</v>
      </c>
      <c r="C48">
        <v>42744</v>
      </c>
      <c r="D48">
        <v>768</v>
      </c>
      <c r="E48">
        <v>455</v>
      </c>
      <c r="F48">
        <f>SUM(A48:C48)</f>
        <v>57200</v>
      </c>
      <c r="G48">
        <f>SUM(D48:E48)</f>
        <v>1223</v>
      </c>
      <c r="H48">
        <f>F48/G48</f>
        <v>46.770237121831563</v>
      </c>
      <c r="I48" t="str">
        <f>"1:"&amp;INT(F48/G48)</f>
        <v>1:46</v>
      </c>
      <c r="J48" t="str">
        <f>IF(H48&lt;=35,"Adequate",IF(H48&lt;=45,"Moderate","critical"))</f>
        <v>critical</v>
      </c>
    </row>
    <row r="49" spans="1:10" x14ac:dyDescent="0.3">
      <c r="A49" t="s">
        <v>23</v>
      </c>
      <c r="B49">
        <v>24821</v>
      </c>
      <c r="C49">
        <v>36323</v>
      </c>
      <c r="D49">
        <v>712</v>
      </c>
      <c r="E49">
        <v>594</v>
      </c>
      <c r="F49">
        <f>SUM(A49:C49)</f>
        <v>61144</v>
      </c>
      <c r="G49">
        <f>SUM(D49:E49)</f>
        <v>1306</v>
      </c>
      <c r="H49">
        <f>F49/G49</f>
        <v>46.817764165390507</v>
      </c>
      <c r="I49" t="str">
        <f>"1:"&amp;INT(F49/G49)</f>
        <v>1:46</v>
      </c>
      <c r="J49" t="str">
        <f>IF(H49&lt;=35,"Adequate",IF(H49&lt;=45,"Moderate","critical"))</f>
        <v>critical</v>
      </c>
    </row>
    <row r="50" spans="1:10" x14ac:dyDescent="0.3">
      <c r="A50" t="s">
        <v>110</v>
      </c>
      <c r="B50">
        <v>11389</v>
      </c>
      <c r="C50">
        <v>29195</v>
      </c>
      <c r="D50">
        <v>501</v>
      </c>
      <c r="E50">
        <v>364</v>
      </c>
      <c r="F50">
        <f>SUM(A50:C50)</f>
        <v>40584</v>
      </c>
      <c r="G50">
        <f>SUM(D50:E50)</f>
        <v>865</v>
      </c>
      <c r="H50">
        <f>F50/G50</f>
        <v>46.917919075144511</v>
      </c>
      <c r="I50" t="str">
        <f>"1:"&amp;INT(F50/G50)</f>
        <v>1:46</v>
      </c>
      <c r="J50" t="str">
        <f>IF(H50&lt;=35,"Adequate",IF(H50&lt;=45,"Moderate","critical"))</f>
        <v>critical</v>
      </c>
    </row>
    <row r="51" spans="1:10" x14ac:dyDescent="0.3">
      <c r="A51" t="s">
        <v>141</v>
      </c>
      <c r="B51">
        <v>29564</v>
      </c>
      <c r="C51">
        <v>40355</v>
      </c>
      <c r="D51">
        <v>674</v>
      </c>
      <c r="E51">
        <v>799</v>
      </c>
      <c r="F51">
        <f>SUM(A51:C51)</f>
        <v>69919</v>
      </c>
      <c r="G51">
        <f>SUM(D51:E51)</f>
        <v>1473</v>
      </c>
      <c r="H51">
        <f>F51/G51</f>
        <v>47.467073998642228</v>
      </c>
      <c r="I51" t="str">
        <f>"1:"&amp;INT(F51/G51)</f>
        <v>1:47</v>
      </c>
      <c r="J51" t="str">
        <f>IF(H51&lt;=35,"Adequate",IF(H51&lt;=45,"Moderate","critical"))</f>
        <v>critical</v>
      </c>
    </row>
    <row r="52" spans="1:10" x14ac:dyDescent="0.3">
      <c r="A52" t="s">
        <v>133</v>
      </c>
      <c r="B52">
        <v>5660</v>
      </c>
      <c r="C52">
        <v>22241</v>
      </c>
      <c r="D52">
        <v>327</v>
      </c>
      <c r="E52">
        <v>256</v>
      </c>
      <c r="F52">
        <f>SUM(A52:C52)</f>
        <v>27901</v>
      </c>
      <c r="G52">
        <f>SUM(D52:E52)</f>
        <v>583</v>
      </c>
      <c r="H52">
        <f>F52/G52</f>
        <v>47.857632933104632</v>
      </c>
      <c r="I52" t="str">
        <f>"1:"&amp;INT(F52/G52)</f>
        <v>1:47</v>
      </c>
      <c r="J52" t="str">
        <f>IF(H52&lt;=35,"Adequate",IF(H52&lt;=45,"Moderate","critical"))</f>
        <v>critical</v>
      </c>
    </row>
    <row r="53" spans="1:10" x14ac:dyDescent="0.3">
      <c r="A53" t="s">
        <v>77</v>
      </c>
      <c r="B53">
        <v>13477</v>
      </c>
      <c r="C53">
        <v>11554</v>
      </c>
      <c r="D53">
        <v>185</v>
      </c>
      <c r="E53">
        <v>337</v>
      </c>
      <c r="F53">
        <f>SUM(A53:C53)</f>
        <v>25031</v>
      </c>
      <c r="G53">
        <f>SUM(D53:E53)</f>
        <v>522</v>
      </c>
      <c r="H53">
        <f>F53/G53</f>
        <v>47.952107279693486</v>
      </c>
      <c r="I53" t="str">
        <f>"1:"&amp;INT(F53/G53)</f>
        <v>1:47</v>
      </c>
      <c r="J53" t="str">
        <f>IF(H53&lt;=35,"Adequate",IF(H53&lt;=45,"Moderate","critical"))</f>
        <v>critical</v>
      </c>
    </row>
    <row r="54" spans="1:10" x14ac:dyDescent="0.3">
      <c r="A54" t="s">
        <v>189</v>
      </c>
      <c r="B54">
        <v>6842</v>
      </c>
      <c r="C54">
        <v>42591</v>
      </c>
      <c r="D54">
        <v>716</v>
      </c>
      <c r="E54">
        <v>299</v>
      </c>
      <c r="F54">
        <f>SUM(A54:C54)</f>
        <v>49433</v>
      </c>
      <c r="G54">
        <f>SUM(D54:E54)</f>
        <v>1015</v>
      </c>
      <c r="H54">
        <f>F54/G54</f>
        <v>48.702463054187191</v>
      </c>
      <c r="I54" t="str">
        <f>"1:"&amp;INT(F54/G54)</f>
        <v>1:48</v>
      </c>
      <c r="J54" t="str">
        <f>IF(H54&lt;=35,"Adequate",IF(H54&lt;=45,"Moderate","critical"))</f>
        <v>critical</v>
      </c>
    </row>
    <row r="55" spans="1:10" x14ac:dyDescent="0.3">
      <c r="A55" t="s">
        <v>169</v>
      </c>
      <c r="B55">
        <v>21352</v>
      </c>
      <c r="C55">
        <v>48817</v>
      </c>
      <c r="D55">
        <v>751</v>
      </c>
      <c r="E55">
        <v>687</v>
      </c>
      <c r="F55">
        <f>SUM(A55:C55)</f>
        <v>70169</v>
      </c>
      <c r="G55">
        <f>SUM(D55:E55)</f>
        <v>1438</v>
      </c>
      <c r="H55">
        <f>F55/G55</f>
        <v>48.796244784422811</v>
      </c>
      <c r="I55" t="str">
        <f>"1:"&amp;INT(F55/G55)</f>
        <v>1:48</v>
      </c>
      <c r="J55" t="str">
        <f>IF(H55&lt;=35,"Adequate",IF(H55&lt;=45,"Moderate","critical"))</f>
        <v>critical</v>
      </c>
    </row>
    <row r="56" spans="1:10" x14ac:dyDescent="0.3">
      <c r="A56" t="s">
        <v>51</v>
      </c>
      <c r="B56">
        <v>29765</v>
      </c>
      <c r="C56">
        <v>20851</v>
      </c>
      <c r="D56">
        <v>418</v>
      </c>
      <c r="E56">
        <v>616</v>
      </c>
      <c r="F56">
        <f>SUM(A56:C56)</f>
        <v>50616</v>
      </c>
      <c r="G56">
        <f>SUM(D56:E56)</f>
        <v>1034</v>
      </c>
      <c r="H56">
        <f>F56/G56</f>
        <v>48.951644100580268</v>
      </c>
      <c r="I56" t="str">
        <f>"1:"&amp;INT(F56/G56)</f>
        <v>1:48</v>
      </c>
      <c r="J56" t="str">
        <f>IF(H56&lt;=35,"Adequate",IF(H56&lt;=45,"Moderate","critical"))</f>
        <v>critical</v>
      </c>
    </row>
    <row r="57" spans="1:10" x14ac:dyDescent="0.3">
      <c r="A57" t="s">
        <v>89</v>
      </c>
      <c r="B57">
        <v>22252</v>
      </c>
      <c r="C57">
        <v>125985</v>
      </c>
      <c r="D57">
        <v>2085</v>
      </c>
      <c r="E57">
        <v>932</v>
      </c>
      <c r="F57">
        <f>SUM(A57:C57)</f>
        <v>148237</v>
      </c>
      <c r="G57">
        <f>SUM(D57:E57)</f>
        <v>3017</v>
      </c>
      <c r="H57">
        <f>F57/G57</f>
        <v>49.133907855485582</v>
      </c>
      <c r="I57" t="str">
        <f>"1:"&amp;INT(F57/G57)</f>
        <v>1:49</v>
      </c>
      <c r="J57" t="str">
        <f>IF(H57&lt;=35,"Adequate",IF(H57&lt;=45,"Moderate","critical"))</f>
        <v>critical</v>
      </c>
    </row>
    <row r="58" spans="1:10" x14ac:dyDescent="0.3">
      <c r="A58" t="s">
        <v>114</v>
      </c>
      <c r="B58">
        <v>46001</v>
      </c>
      <c r="C58">
        <v>68209</v>
      </c>
      <c r="D58">
        <v>1446</v>
      </c>
      <c r="E58">
        <v>864</v>
      </c>
      <c r="F58">
        <f>SUM(A58:C58)</f>
        <v>114210</v>
      </c>
      <c r="G58">
        <f>SUM(D58:E58)</f>
        <v>2310</v>
      </c>
      <c r="H58">
        <f>F58/G58</f>
        <v>49.441558441558442</v>
      </c>
      <c r="I58" t="str">
        <f>"1:"&amp;INT(F58/G58)</f>
        <v>1:49</v>
      </c>
      <c r="J58" t="str">
        <f>IF(H58&lt;=35,"Adequate",IF(H58&lt;=45,"Moderate","critical"))</f>
        <v>critical</v>
      </c>
    </row>
    <row r="59" spans="1:10" x14ac:dyDescent="0.3">
      <c r="A59" t="s">
        <v>179</v>
      </c>
      <c r="B59">
        <v>27529</v>
      </c>
      <c r="C59">
        <v>45328</v>
      </c>
      <c r="D59">
        <v>739</v>
      </c>
      <c r="E59">
        <v>728</v>
      </c>
      <c r="F59">
        <f>SUM(A59:C59)</f>
        <v>72857</v>
      </c>
      <c r="G59">
        <f>SUM(D59:E59)</f>
        <v>1467</v>
      </c>
      <c r="H59">
        <f>F59/G59</f>
        <v>49.663940013633265</v>
      </c>
      <c r="I59" t="str">
        <f>"1:"&amp;INT(F59/G59)</f>
        <v>1:49</v>
      </c>
      <c r="J59" t="str">
        <f>IF(H59&lt;=35,"Adequate",IF(H59&lt;=45,"Moderate","critical"))</f>
        <v>critical</v>
      </c>
    </row>
    <row r="60" spans="1:10" x14ac:dyDescent="0.3">
      <c r="A60" t="s">
        <v>155</v>
      </c>
      <c r="B60">
        <v>24204</v>
      </c>
      <c r="C60">
        <v>19048</v>
      </c>
      <c r="D60">
        <v>381</v>
      </c>
      <c r="E60">
        <v>489</v>
      </c>
      <c r="F60">
        <f>SUM(A60:C60)</f>
        <v>43252</v>
      </c>
      <c r="G60">
        <f>SUM(D60:E60)</f>
        <v>870</v>
      </c>
      <c r="H60">
        <f>F60/G60</f>
        <v>49.714942528735634</v>
      </c>
      <c r="I60" t="str">
        <f>"1:"&amp;INT(F60/G60)</f>
        <v>1:49</v>
      </c>
      <c r="J60" t="str">
        <f>IF(H60&lt;=35,"Adequate",IF(H60&lt;=45,"Moderate","critical"))</f>
        <v>critical</v>
      </c>
    </row>
    <row r="61" spans="1:10" x14ac:dyDescent="0.3">
      <c r="A61" t="s">
        <v>149</v>
      </c>
      <c r="B61">
        <v>36531</v>
      </c>
      <c r="C61">
        <v>38805</v>
      </c>
      <c r="D61">
        <v>811</v>
      </c>
      <c r="E61">
        <v>699</v>
      </c>
      <c r="F61">
        <f>SUM(A61:C61)</f>
        <v>75336</v>
      </c>
      <c r="G61">
        <f>SUM(D61:E61)</f>
        <v>1510</v>
      </c>
      <c r="H61">
        <f>F61/G61</f>
        <v>49.891390728476821</v>
      </c>
      <c r="I61" t="str">
        <f>"1:"&amp;INT(F61/G61)</f>
        <v>1:49</v>
      </c>
      <c r="J61" t="str">
        <f>IF(H61&lt;=35,"Adequate",IF(H61&lt;=45,"Moderate","critical"))</f>
        <v>critical</v>
      </c>
    </row>
    <row r="62" spans="1:10" x14ac:dyDescent="0.3">
      <c r="A62" t="s">
        <v>129</v>
      </c>
      <c r="B62">
        <v>10229</v>
      </c>
      <c r="C62">
        <v>47967</v>
      </c>
      <c r="D62">
        <v>882</v>
      </c>
      <c r="E62">
        <v>275</v>
      </c>
      <c r="F62">
        <f>SUM(A62:C62)</f>
        <v>58196</v>
      </c>
      <c r="G62">
        <f>SUM(D62:E62)</f>
        <v>1157</v>
      </c>
      <c r="H62">
        <f>F62/G62</f>
        <v>50.299049265341402</v>
      </c>
      <c r="I62" t="str">
        <f>"1:"&amp;INT(F62/G62)</f>
        <v>1:50</v>
      </c>
      <c r="J62" t="str">
        <f>IF(H62&lt;=35,"Adequate",IF(H62&lt;=45,"Moderate","critical"))</f>
        <v>critical</v>
      </c>
    </row>
    <row r="63" spans="1:10" x14ac:dyDescent="0.3">
      <c r="A63" t="s">
        <v>96</v>
      </c>
      <c r="B63">
        <v>25963</v>
      </c>
      <c r="C63">
        <v>35339</v>
      </c>
      <c r="D63">
        <v>718</v>
      </c>
      <c r="E63">
        <v>495</v>
      </c>
      <c r="F63">
        <f>SUM(A63:C63)</f>
        <v>61302</v>
      </c>
      <c r="G63">
        <f>SUM(D63:E63)</f>
        <v>1213</v>
      </c>
      <c r="H63">
        <f>F63/G63</f>
        <v>50.537510305028853</v>
      </c>
      <c r="I63" t="str">
        <f>"1:"&amp;INT(F63/G63)</f>
        <v>1:50</v>
      </c>
      <c r="J63" t="str">
        <f>IF(H63&lt;=35,"Adequate",IF(H63&lt;=45,"Moderate","critical"))</f>
        <v>critical</v>
      </c>
    </row>
    <row r="64" spans="1:10" x14ac:dyDescent="0.3">
      <c r="A64" t="s">
        <v>187</v>
      </c>
      <c r="B64">
        <v>15675</v>
      </c>
      <c r="C64">
        <v>48859</v>
      </c>
      <c r="D64">
        <v>904</v>
      </c>
      <c r="E64">
        <v>372</v>
      </c>
      <c r="F64">
        <f>SUM(A64:C64)</f>
        <v>64534</v>
      </c>
      <c r="G64">
        <f>SUM(D64:E64)</f>
        <v>1276</v>
      </c>
      <c r="H64">
        <f>F64/G64</f>
        <v>50.575235109717866</v>
      </c>
      <c r="I64" t="str">
        <f>"1:"&amp;INT(F64/G64)</f>
        <v>1:50</v>
      </c>
      <c r="J64" t="str">
        <f>IF(H64&lt;=35,"Adequate",IF(H64&lt;=45,"Moderate","critical"))</f>
        <v>critical</v>
      </c>
    </row>
    <row r="65" spans="1:10" x14ac:dyDescent="0.3">
      <c r="A65" t="s">
        <v>15</v>
      </c>
      <c r="B65">
        <v>20791</v>
      </c>
      <c r="C65">
        <v>11144</v>
      </c>
      <c r="D65">
        <v>276</v>
      </c>
      <c r="E65">
        <v>355</v>
      </c>
      <c r="F65">
        <f>SUM(A65:C65)</f>
        <v>31935</v>
      </c>
      <c r="G65">
        <f>SUM(D65:E65)</f>
        <v>631</v>
      </c>
      <c r="H65">
        <f>F65/G65</f>
        <v>50.610142630744846</v>
      </c>
      <c r="I65" t="str">
        <f>"1:"&amp;INT(F65/G65)</f>
        <v>1:50</v>
      </c>
      <c r="J65" t="str">
        <f>IF(H65&lt;=35,"Adequate",IF(H65&lt;=45,"Moderate","critical"))</f>
        <v>critical</v>
      </c>
    </row>
    <row r="66" spans="1:10" x14ac:dyDescent="0.3">
      <c r="A66" t="s">
        <v>103</v>
      </c>
      <c r="B66">
        <v>17766</v>
      </c>
      <c r="C66">
        <v>8032</v>
      </c>
      <c r="D66">
        <v>206</v>
      </c>
      <c r="E66">
        <v>303</v>
      </c>
      <c r="F66">
        <f>SUM(A66:C66)</f>
        <v>25798</v>
      </c>
      <c r="G66">
        <f>SUM(D66:E66)</f>
        <v>509</v>
      </c>
      <c r="H66">
        <f>F66/G66</f>
        <v>50.683693516699414</v>
      </c>
      <c r="I66" t="str">
        <f>"1:"&amp;INT(F66/G66)</f>
        <v>1:50</v>
      </c>
      <c r="J66" t="str">
        <f>IF(H66&lt;=35,"Adequate",IF(H66&lt;=45,"Moderate","critical"))</f>
        <v>critical</v>
      </c>
    </row>
    <row r="67" spans="1:10" x14ac:dyDescent="0.3">
      <c r="A67" t="s">
        <v>67</v>
      </c>
      <c r="B67">
        <v>13167</v>
      </c>
      <c r="C67">
        <v>30115</v>
      </c>
      <c r="D67">
        <v>557</v>
      </c>
      <c r="E67">
        <v>289</v>
      </c>
      <c r="F67">
        <f>SUM(A67:C67)</f>
        <v>43282</v>
      </c>
      <c r="G67">
        <f>SUM(D67:E67)</f>
        <v>846</v>
      </c>
      <c r="H67">
        <f>F67/G67</f>
        <v>51.160756501182036</v>
      </c>
      <c r="I67" t="str">
        <f>"1:"&amp;INT(F67/G67)</f>
        <v>1:51</v>
      </c>
      <c r="J67" t="str">
        <f>IF(H67&lt;=35,"Adequate",IF(H67&lt;=45,"Moderate","critical"))</f>
        <v>critical</v>
      </c>
    </row>
    <row r="68" spans="1:10" x14ac:dyDescent="0.3">
      <c r="A68" t="s">
        <v>101</v>
      </c>
      <c r="B68">
        <v>38399</v>
      </c>
      <c r="C68">
        <v>51886</v>
      </c>
      <c r="D68">
        <v>985</v>
      </c>
      <c r="E68">
        <v>777</v>
      </c>
      <c r="F68">
        <f>SUM(A68:C68)</f>
        <v>90285</v>
      </c>
      <c r="G68">
        <f>SUM(D68:E68)</f>
        <v>1762</v>
      </c>
      <c r="H68">
        <f>F68/G68</f>
        <v>51.24006810442679</v>
      </c>
      <c r="I68" t="str">
        <f>"1:"&amp;INT(F68/G68)</f>
        <v>1:51</v>
      </c>
      <c r="J68" t="str">
        <f>IF(H68&lt;=35,"Adequate",IF(H68&lt;=45,"Moderate","critical"))</f>
        <v>critical</v>
      </c>
    </row>
    <row r="69" spans="1:10" x14ac:dyDescent="0.3">
      <c r="A69" t="s">
        <v>65</v>
      </c>
      <c r="B69">
        <v>11156</v>
      </c>
      <c r="C69">
        <v>26295</v>
      </c>
      <c r="D69">
        <v>449</v>
      </c>
      <c r="E69">
        <v>279</v>
      </c>
      <c r="F69">
        <f>SUM(A69:C69)</f>
        <v>37451</v>
      </c>
      <c r="G69">
        <f>SUM(D69:E69)</f>
        <v>728</v>
      </c>
      <c r="H69">
        <f>F69/G69</f>
        <v>51.443681318681321</v>
      </c>
      <c r="I69" t="str">
        <f>"1:"&amp;INT(F69/G69)</f>
        <v>1:51</v>
      </c>
      <c r="J69" t="str">
        <f>IF(H69&lt;=35,"Adequate",IF(H69&lt;=45,"Moderate","critical"))</f>
        <v>critical</v>
      </c>
    </row>
    <row r="70" spans="1:10" x14ac:dyDescent="0.3">
      <c r="A70" t="s">
        <v>124</v>
      </c>
      <c r="B70">
        <v>10566</v>
      </c>
      <c r="C70">
        <v>14792</v>
      </c>
      <c r="D70">
        <v>297</v>
      </c>
      <c r="E70">
        <v>194</v>
      </c>
      <c r="F70">
        <f>SUM(A70:C70)</f>
        <v>25358</v>
      </c>
      <c r="G70">
        <f>SUM(D70:E70)</f>
        <v>491</v>
      </c>
      <c r="H70">
        <f>F70/G70</f>
        <v>51.645621181262726</v>
      </c>
      <c r="I70" t="str">
        <f>"1:"&amp;INT(F70/G70)</f>
        <v>1:51</v>
      </c>
      <c r="J70" t="str">
        <f>IF(H70&lt;=35,"Adequate",IF(H70&lt;=45,"Moderate","critical"))</f>
        <v>critical</v>
      </c>
    </row>
    <row r="71" spans="1:10" x14ac:dyDescent="0.3">
      <c r="A71" t="s">
        <v>82</v>
      </c>
      <c r="B71">
        <v>30198</v>
      </c>
      <c r="C71">
        <v>14305</v>
      </c>
      <c r="D71">
        <v>398</v>
      </c>
      <c r="E71">
        <v>459</v>
      </c>
      <c r="F71">
        <f>SUM(A71:C71)</f>
        <v>44503</v>
      </c>
      <c r="G71">
        <f>SUM(D71:E71)</f>
        <v>857</v>
      </c>
      <c r="H71">
        <f>F71/G71</f>
        <v>51.92882147024504</v>
      </c>
      <c r="I71" t="str">
        <f>"1:"&amp;INT(F71/G71)</f>
        <v>1:51</v>
      </c>
      <c r="J71" t="str">
        <f>IF(H71&lt;=35,"Adequate",IF(H71&lt;=45,"Moderate","critical"))</f>
        <v>critical</v>
      </c>
    </row>
    <row r="72" spans="1:10" x14ac:dyDescent="0.3">
      <c r="A72" t="s">
        <v>104</v>
      </c>
      <c r="B72">
        <v>27227</v>
      </c>
      <c r="C72">
        <v>25432</v>
      </c>
      <c r="D72">
        <v>446</v>
      </c>
      <c r="E72">
        <v>565</v>
      </c>
      <c r="F72">
        <f>SUM(A72:C72)</f>
        <v>52659</v>
      </c>
      <c r="G72">
        <f>SUM(D72:E72)</f>
        <v>1011</v>
      </c>
      <c r="H72">
        <f>F72/G72</f>
        <v>52.08605341246291</v>
      </c>
      <c r="I72" t="str">
        <f>"1:"&amp;INT(F72/G72)</f>
        <v>1:52</v>
      </c>
      <c r="J72" t="str">
        <f>IF(H72&lt;=35,"Adequate",IF(H72&lt;=45,"Moderate","critical"))</f>
        <v>critical</v>
      </c>
    </row>
    <row r="73" spans="1:10" x14ac:dyDescent="0.3">
      <c r="A73" t="s">
        <v>54</v>
      </c>
      <c r="B73">
        <v>27605</v>
      </c>
      <c r="C73">
        <v>24323</v>
      </c>
      <c r="D73">
        <v>503</v>
      </c>
      <c r="E73">
        <v>486</v>
      </c>
      <c r="F73">
        <f>SUM(A73:C73)</f>
        <v>51928</v>
      </c>
      <c r="G73">
        <f>SUM(D73:E73)</f>
        <v>989</v>
      </c>
      <c r="H73">
        <f>F73/G73</f>
        <v>52.50556117290192</v>
      </c>
      <c r="I73" t="str">
        <f>"1:"&amp;INT(F73/G73)</f>
        <v>1:52</v>
      </c>
      <c r="J73" t="str">
        <f>IF(H73&lt;=35,"Adequate",IF(H73&lt;=45,"Moderate","critical"))</f>
        <v>critical</v>
      </c>
    </row>
    <row r="74" spans="1:10" x14ac:dyDescent="0.3">
      <c r="A74" t="s">
        <v>87</v>
      </c>
      <c r="B74">
        <v>15236</v>
      </c>
      <c r="C74">
        <v>27685</v>
      </c>
      <c r="D74">
        <v>447</v>
      </c>
      <c r="E74">
        <v>366</v>
      </c>
      <c r="F74">
        <f>SUM(A74:C74)</f>
        <v>42921</v>
      </c>
      <c r="G74">
        <f>SUM(D74:E74)</f>
        <v>813</v>
      </c>
      <c r="H74">
        <f>F74/G74</f>
        <v>52.793357933579337</v>
      </c>
      <c r="I74" t="str">
        <f>"1:"&amp;INT(F74/G74)</f>
        <v>1:52</v>
      </c>
      <c r="J74" t="str">
        <f>IF(H74&lt;=35,"Adequate",IF(H74&lt;=45,"Moderate","critical"))</f>
        <v>critical</v>
      </c>
    </row>
    <row r="75" spans="1:10" x14ac:dyDescent="0.3">
      <c r="A75" t="s">
        <v>30</v>
      </c>
      <c r="B75">
        <v>36051</v>
      </c>
      <c r="C75">
        <v>17325</v>
      </c>
      <c r="D75">
        <v>308</v>
      </c>
      <c r="E75">
        <v>701</v>
      </c>
      <c r="F75">
        <f>SUM(A75:C75)</f>
        <v>53376</v>
      </c>
      <c r="G75">
        <f>SUM(D75:E75)</f>
        <v>1009</v>
      </c>
      <c r="H75">
        <f>F75/G75</f>
        <v>52.899900891972251</v>
      </c>
      <c r="I75" t="str">
        <f>"1:"&amp;INT(F75/G75)</f>
        <v>1:52</v>
      </c>
      <c r="J75" t="str">
        <f>IF(H75&lt;=35,"Adequate",IF(H75&lt;=45,"Moderate","critical"))</f>
        <v>critical</v>
      </c>
    </row>
    <row r="76" spans="1:10" x14ac:dyDescent="0.3">
      <c r="A76" t="s">
        <v>105</v>
      </c>
      <c r="B76">
        <v>11457</v>
      </c>
      <c r="C76">
        <v>25793</v>
      </c>
      <c r="D76">
        <v>443</v>
      </c>
      <c r="E76">
        <v>261</v>
      </c>
      <c r="F76">
        <f>SUM(A76:C76)</f>
        <v>37250</v>
      </c>
      <c r="G76">
        <f>SUM(D76:E76)</f>
        <v>704</v>
      </c>
      <c r="H76">
        <f>F76/G76</f>
        <v>52.91193181818182</v>
      </c>
      <c r="I76" t="str">
        <f>"1:"&amp;INT(F76/G76)</f>
        <v>1:52</v>
      </c>
      <c r="J76" t="str">
        <f>IF(H76&lt;=35,"Adequate",IF(H76&lt;=45,"Moderate","critical"))</f>
        <v>critical</v>
      </c>
    </row>
    <row r="77" spans="1:10" x14ac:dyDescent="0.3">
      <c r="A77" t="s">
        <v>88</v>
      </c>
      <c r="B77">
        <v>10342</v>
      </c>
      <c r="C77">
        <v>25630</v>
      </c>
      <c r="D77">
        <v>407</v>
      </c>
      <c r="E77">
        <v>263</v>
      </c>
      <c r="F77">
        <f>SUM(A77:C77)</f>
        <v>35972</v>
      </c>
      <c r="G77">
        <f>SUM(D77:E77)</f>
        <v>670</v>
      </c>
      <c r="H77">
        <f>F77/G77</f>
        <v>53.689552238805973</v>
      </c>
      <c r="I77" t="str">
        <f>"1:"&amp;INT(F77/G77)</f>
        <v>1:53</v>
      </c>
      <c r="J77" t="str">
        <f>IF(H77&lt;=35,"Adequate",IF(H77&lt;=45,"Moderate","critical"))</f>
        <v>critical</v>
      </c>
    </row>
    <row r="78" spans="1:10" x14ac:dyDescent="0.3">
      <c r="A78" t="s">
        <v>78</v>
      </c>
      <c r="B78">
        <v>23543</v>
      </c>
      <c r="C78">
        <v>22771</v>
      </c>
      <c r="D78">
        <v>306</v>
      </c>
      <c r="E78">
        <v>546</v>
      </c>
      <c r="F78">
        <f>SUM(A78:C78)</f>
        <v>46314</v>
      </c>
      <c r="G78">
        <f>SUM(D78:E78)</f>
        <v>852</v>
      </c>
      <c r="H78">
        <f>F78/G78</f>
        <v>54.359154929577464</v>
      </c>
      <c r="I78" t="str">
        <f>"1:"&amp;INT(F78/G78)</f>
        <v>1:54</v>
      </c>
      <c r="J78" t="str">
        <f>IF(H78&lt;=35,"Adequate",IF(H78&lt;=45,"Moderate","critical"))</f>
        <v>critical</v>
      </c>
    </row>
    <row r="79" spans="1:10" x14ac:dyDescent="0.3">
      <c r="A79" t="s">
        <v>48</v>
      </c>
      <c r="B79">
        <v>24153</v>
      </c>
      <c r="C79">
        <v>9720</v>
      </c>
      <c r="D79">
        <v>363</v>
      </c>
      <c r="E79">
        <v>260</v>
      </c>
      <c r="F79">
        <f>SUM(A79:C79)</f>
        <v>33873</v>
      </c>
      <c r="G79">
        <f>SUM(D79:E79)</f>
        <v>623</v>
      </c>
      <c r="H79">
        <f>F79/G79</f>
        <v>54.370786516853933</v>
      </c>
      <c r="I79" t="str">
        <f>"1:"&amp;INT(F79/G79)</f>
        <v>1:54</v>
      </c>
      <c r="J79" t="str">
        <f>IF(H79&lt;=35,"Adequate",IF(H79&lt;=45,"Moderate","critical"))</f>
        <v>critical</v>
      </c>
    </row>
    <row r="80" spans="1:10" x14ac:dyDescent="0.3">
      <c r="A80" t="s">
        <v>181</v>
      </c>
      <c r="B80">
        <v>38430</v>
      </c>
      <c r="C80">
        <v>30509</v>
      </c>
      <c r="D80">
        <v>732</v>
      </c>
      <c r="E80">
        <v>527</v>
      </c>
      <c r="F80">
        <f>SUM(A80:C80)</f>
        <v>68939</v>
      </c>
      <c r="G80">
        <f>SUM(D80:E80)</f>
        <v>1259</v>
      </c>
      <c r="H80">
        <f>F80/G80</f>
        <v>54.756949960285944</v>
      </c>
      <c r="I80" t="str">
        <f>"1:"&amp;INT(F80/G80)</f>
        <v>1:54</v>
      </c>
      <c r="J80" t="str">
        <f>IF(H80&lt;=35,"Adequate",IF(H80&lt;=45,"Moderate","critical"))</f>
        <v>critical</v>
      </c>
    </row>
    <row r="81" spans="1:10" x14ac:dyDescent="0.3">
      <c r="A81" t="s">
        <v>142</v>
      </c>
      <c r="B81">
        <v>15809</v>
      </c>
      <c r="C81">
        <v>17999</v>
      </c>
      <c r="D81">
        <v>352</v>
      </c>
      <c r="E81">
        <v>260</v>
      </c>
      <c r="F81">
        <f>SUM(A81:C81)</f>
        <v>33808</v>
      </c>
      <c r="G81">
        <f>SUM(D81:E81)</f>
        <v>612</v>
      </c>
      <c r="H81">
        <f>F81/G81</f>
        <v>55.24183006535948</v>
      </c>
      <c r="I81" t="str">
        <f>"1:"&amp;INT(F81/G81)</f>
        <v>1:55</v>
      </c>
      <c r="J81" t="str">
        <f>IF(H81&lt;=35,"Adequate",IF(H81&lt;=45,"Moderate","critical"))</f>
        <v>critical</v>
      </c>
    </row>
    <row r="82" spans="1:10" x14ac:dyDescent="0.3">
      <c r="A82" t="s">
        <v>164</v>
      </c>
      <c r="B82">
        <v>26685</v>
      </c>
      <c r="C82">
        <v>27895</v>
      </c>
      <c r="D82">
        <v>674</v>
      </c>
      <c r="E82">
        <v>312</v>
      </c>
      <c r="F82">
        <f>SUM(A82:C82)</f>
        <v>54580</v>
      </c>
      <c r="G82">
        <f>SUM(D82:E82)</f>
        <v>986</v>
      </c>
      <c r="H82">
        <f>F82/G82</f>
        <v>55.35496957403651</v>
      </c>
      <c r="I82" t="str">
        <f>"1:"&amp;INT(F82/G82)</f>
        <v>1:55</v>
      </c>
      <c r="J82" t="str">
        <f>IF(H82&lt;=35,"Adequate",IF(H82&lt;=45,"Moderate","critical"))</f>
        <v>critical</v>
      </c>
    </row>
    <row r="83" spans="1:10" x14ac:dyDescent="0.3">
      <c r="A83" t="s">
        <v>161</v>
      </c>
      <c r="B83">
        <v>29187</v>
      </c>
      <c r="C83">
        <v>40016</v>
      </c>
      <c r="D83">
        <v>818</v>
      </c>
      <c r="E83">
        <v>427</v>
      </c>
      <c r="F83">
        <f>SUM(A83:C83)</f>
        <v>69203</v>
      </c>
      <c r="G83">
        <f>SUM(D83:E83)</f>
        <v>1245</v>
      </c>
      <c r="H83">
        <f>F83/G83</f>
        <v>55.58473895582329</v>
      </c>
      <c r="I83" t="str">
        <f>"1:"&amp;INT(F83/G83)</f>
        <v>1:55</v>
      </c>
      <c r="J83" t="str">
        <f>IF(H83&lt;=35,"Adequate",IF(H83&lt;=45,"Moderate","critical"))</f>
        <v>critical</v>
      </c>
    </row>
    <row r="84" spans="1:10" x14ac:dyDescent="0.3">
      <c r="A84" t="s">
        <v>102</v>
      </c>
      <c r="B84">
        <v>39434</v>
      </c>
      <c r="C84">
        <v>45471</v>
      </c>
      <c r="D84">
        <v>615</v>
      </c>
      <c r="E84">
        <v>906</v>
      </c>
      <c r="F84">
        <f>SUM(A84:C84)</f>
        <v>84905</v>
      </c>
      <c r="G84">
        <f>SUM(D84:E84)</f>
        <v>1521</v>
      </c>
      <c r="H84">
        <f>F84/G84</f>
        <v>55.821827744904667</v>
      </c>
      <c r="I84" t="str">
        <f>"1:"&amp;INT(F84/G84)</f>
        <v>1:55</v>
      </c>
      <c r="J84" t="str">
        <f>IF(H84&lt;=35,"Adequate",IF(H84&lt;=45,"Moderate","critical"))</f>
        <v>critical</v>
      </c>
    </row>
    <row r="85" spans="1:10" x14ac:dyDescent="0.3">
      <c r="A85" t="s">
        <v>21</v>
      </c>
      <c r="B85">
        <v>30687</v>
      </c>
      <c r="C85">
        <v>72776</v>
      </c>
      <c r="D85">
        <v>1230</v>
      </c>
      <c r="E85">
        <v>623</v>
      </c>
      <c r="F85">
        <f>SUM(A85:C85)</f>
        <v>103463</v>
      </c>
      <c r="G85">
        <f>SUM(D85:E85)</f>
        <v>1853</v>
      </c>
      <c r="H85">
        <f>F85/G85</f>
        <v>55.835402050728547</v>
      </c>
      <c r="I85" t="str">
        <f>"1:"&amp;INT(F85/G85)</f>
        <v>1:55</v>
      </c>
      <c r="J85" t="str">
        <f>IF(H85&lt;=35,"Adequate",IF(H85&lt;=45,"Moderate","critical"))</f>
        <v>critical</v>
      </c>
    </row>
    <row r="86" spans="1:10" x14ac:dyDescent="0.3">
      <c r="A86" t="s">
        <v>90</v>
      </c>
      <c r="B86">
        <v>24886</v>
      </c>
      <c r="C86">
        <v>23038</v>
      </c>
      <c r="D86">
        <v>420</v>
      </c>
      <c r="E86">
        <v>436</v>
      </c>
      <c r="F86">
        <f>SUM(A86:C86)</f>
        <v>47924</v>
      </c>
      <c r="G86">
        <f>SUM(D86:E86)</f>
        <v>856</v>
      </c>
      <c r="H86">
        <f>F86/G86</f>
        <v>55.985981308411212</v>
      </c>
      <c r="I86" t="str">
        <f>"1:"&amp;INT(F86/G86)</f>
        <v>1:55</v>
      </c>
      <c r="J86" t="str">
        <f>IF(H86&lt;=35,"Adequate",IF(H86&lt;=45,"Moderate","critical"))</f>
        <v>critical</v>
      </c>
    </row>
    <row r="87" spans="1:10" x14ac:dyDescent="0.3">
      <c r="A87" t="s">
        <v>70</v>
      </c>
      <c r="B87">
        <v>18467</v>
      </c>
      <c r="C87">
        <v>41573</v>
      </c>
      <c r="D87">
        <v>761</v>
      </c>
      <c r="E87">
        <v>311</v>
      </c>
      <c r="F87">
        <f>SUM(A87:C87)</f>
        <v>60040</v>
      </c>
      <c r="G87">
        <f>SUM(D87:E87)</f>
        <v>1072</v>
      </c>
      <c r="H87">
        <f>F87/G87</f>
        <v>56.007462686567166</v>
      </c>
      <c r="I87" t="str">
        <f>"1:"&amp;INT(F87/G87)</f>
        <v>1:56</v>
      </c>
      <c r="J87" t="str">
        <f>IF(H87&lt;=35,"Adequate",IF(H87&lt;=45,"Moderate","critical"))</f>
        <v>critical</v>
      </c>
    </row>
    <row r="88" spans="1:10" x14ac:dyDescent="0.3">
      <c r="A88" t="s">
        <v>145</v>
      </c>
      <c r="B88">
        <v>15240</v>
      </c>
      <c r="C88">
        <v>22541</v>
      </c>
      <c r="D88">
        <v>474</v>
      </c>
      <c r="E88">
        <v>199</v>
      </c>
      <c r="F88">
        <f>SUM(A88:C88)</f>
        <v>37781</v>
      </c>
      <c r="G88">
        <f>SUM(D88:E88)</f>
        <v>673</v>
      </c>
      <c r="H88">
        <f>F88/G88</f>
        <v>56.138187221396734</v>
      </c>
      <c r="I88" t="str">
        <f>"1:"&amp;INT(F88/G88)</f>
        <v>1:56</v>
      </c>
      <c r="J88" t="str">
        <f>IF(H88&lt;=35,"Adequate",IF(H88&lt;=45,"Moderate","critical"))</f>
        <v>critical</v>
      </c>
    </row>
    <row r="89" spans="1:10" x14ac:dyDescent="0.3">
      <c r="A89" t="s">
        <v>139</v>
      </c>
      <c r="B89">
        <v>28107</v>
      </c>
      <c r="C89">
        <v>56488</v>
      </c>
      <c r="D89">
        <v>1024</v>
      </c>
      <c r="E89">
        <v>482</v>
      </c>
      <c r="F89">
        <f>SUM(A89:C89)</f>
        <v>84595</v>
      </c>
      <c r="G89">
        <f>SUM(D89:E89)</f>
        <v>1506</v>
      </c>
      <c r="H89">
        <f>F89/G89</f>
        <v>56.171978751660028</v>
      </c>
      <c r="I89" t="str">
        <f>"1:"&amp;INT(F89/G89)</f>
        <v>1:56</v>
      </c>
      <c r="J89" t="str">
        <f>IF(H89&lt;=35,"Adequate",IF(H89&lt;=45,"Moderate","critical"))</f>
        <v>critical</v>
      </c>
    </row>
    <row r="90" spans="1:10" x14ac:dyDescent="0.3">
      <c r="A90" t="s">
        <v>171</v>
      </c>
      <c r="B90">
        <v>20505</v>
      </c>
      <c r="C90">
        <v>39343</v>
      </c>
      <c r="D90">
        <v>589</v>
      </c>
      <c r="E90">
        <v>471</v>
      </c>
      <c r="F90">
        <f>SUM(A90:C90)</f>
        <v>59848</v>
      </c>
      <c r="G90">
        <f>SUM(D90:E90)</f>
        <v>1060</v>
      </c>
      <c r="H90">
        <f>F90/G90</f>
        <v>56.460377358490568</v>
      </c>
      <c r="I90" t="str">
        <f>"1:"&amp;INT(F90/G90)</f>
        <v>1:56</v>
      </c>
      <c r="J90" t="str">
        <f>IF(H90&lt;=35,"Adequate",IF(H90&lt;=45,"Moderate","critical"))</f>
        <v>critical</v>
      </c>
    </row>
    <row r="91" spans="1:10" x14ac:dyDescent="0.3">
      <c r="A91" t="s">
        <v>64</v>
      </c>
      <c r="B91">
        <v>26954</v>
      </c>
      <c r="C91">
        <v>35973</v>
      </c>
      <c r="D91">
        <v>725</v>
      </c>
      <c r="E91">
        <v>387</v>
      </c>
      <c r="F91">
        <f>SUM(A91:C91)</f>
        <v>62927</v>
      </c>
      <c r="G91">
        <f>SUM(D91:E91)</f>
        <v>1112</v>
      </c>
      <c r="H91">
        <f>F91/G91</f>
        <v>56.589028776978417</v>
      </c>
      <c r="I91" t="str">
        <f>"1:"&amp;INT(F91/G91)</f>
        <v>1:56</v>
      </c>
      <c r="J91" t="str">
        <f>IF(H91&lt;=35,"Adequate",IF(H91&lt;=45,"Moderate","critical"))</f>
        <v>critical</v>
      </c>
    </row>
    <row r="92" spans="1:10" x14ac:dyDescent="0.3">
      <c r="A92" t="s">
        <v>144</v>
      </c>
      <c r="B92">
        <v>20603</v>
      </c>
      <c r="C92">
        <v>37964</v>
      </c>
      <c r="D92">
        <v>667</v>
      </c>
      <c r="E92">
        <v>362</v>
      </c>
      <c r="F92">
        <f>SUM(A92:C92)</f>
        <v>58567</v>
      </c>
      <c r="G92">
        <f>SUM(D92:E92)</f>
        <v>1029</v>
      </c>
      <c r="H92">
        <f>F92/G92</f>
        <v>56.91642371234208</v>
      </c>
      <c r="I92" t="str">
        <f>"1:"&amp;INT(F92/G92)</f>
        <v>1:56</v>
      </c>
      <c r="J92" t="str">
        <f>IF(H92&lt;=35,"Adequate",IF(H92&lt;=45,"Moderate","critical"))</f>
        <v>critical</v>
      </c>
    </row>
    <row r="93" spans="1:10" x14ac:dyDescent="0.3">
      <c r="A93" t="s">
        <v>190</v>
      </c>
      <c r="B93">
        <v>32135</v>
      </c>
      <c r="C93">
        <v>28785</v>
      </c>
      <c r="D93">
        <v>396</v>
      </c>
      <c r="E93">
        <v>671</v>
      </c>
      <c r="F93">
        <f>SUM(A93:C93)</f>
        <v>60920</v>
      </c>
      <c r="G93">
        <f>SUM(D93:E93)</f>
        <v>1067</v>
      </c>
      <c r="H93">
        <f>F93/G93</f>
        <v>57.094657919400184</v>
      </c>
      <c r="I93" t="str">
        <f>"1:"&amp;INT(F93/G93)</f>
        <v>1:57</v>
      </c>
      <c r="J93" t="str">
        <f>IF(H93&lt;=35,"Adequate",IF(H93&lt;=45,"Moderate","critical"))</f>
        <v>critical</v>
      </c>
    </row>
    <row r="94" spans="1:10" x14ac:dyDescent="0.3">
      <c r="A94" t="s">
        <v>26</v>
      </c>
      <c r="B94">
        <v>35694</v>
      </c>
      <c r="C94">
        <v>16375</v>
      </c>
      <c r="D94">
        <v>384</v>
      </c>
      <c r="E94">
        <v>522</v>
      </c>
      <c r="F94">
        <f>SUM(A94:C94)</f>
        <v>52069</v>
      </c>
      <c r="G94">
        <f>SUM(D94:E94)</f>
        <v>906</v>
      </c>
      <c r="H94">
        <f>F94/G94</f>
        <v>57.471302428256074</v>
      </c>
      <c r="I94" t="str">
        <f>"1:"&amp;INT(F94/G94)</f>
        <v>1:57</v>
      </c>
      <c r="J94" t="str">
        <f>IF(H94&lt;=35,"Adequate",IF(H94&lt;=45,"Moderate","critical"))</f>
        <v>critical</v>
      </c>
    </row>
    <row r="95" spans="1:10" x14ac:dyDescent="0.3">
      <c r="A95" t="s">
        <v>160</v>
      </c>
      <c r="B95">
        <v>37510</v>
      </c>
      <c r="C95">
        <v>37181</v>
      </c>
      <c r="D95">
        <v>772</v>
      </c>
      <c r="E95">
        <v>527</v>
      </c>
      <c r="F95">
        <f>SUM(A95:C95)</f>
        <v>74691</v>
      </c>
      <c r="G95">
        <f>SUM(D95:E95)</f>
        <v>1299</v>
      </c>
      <c r="H95">
        <f>F95/G95</f>
        <v>57.498845265588912</v>
      </c>
      <c r="I95" t="str">
        <f>"1:"&amp;INT(F95/G95)</f>
        <v>1:57</v>
      </c>
      <c r="J95" t="str">
        <f>IF(H95&lt;=35,"Adequate",IF(H95&lt;=45,"Moderate","critical"))</f>
        <v>critical</v>
      </c>
    </row>
    <row r="96" spans="1:10" x14ac:dyDescent="0.3">
      <c r="A96" t="s">
        <v>135</v>
      </c>
      <c r="B96">
        <v>16247</v>
      </c>
      <c r="C96">
        <v>48392</v>
      </c>
      <c r="D96">
        <v>744</v>
      </c>
      <c r="E96">
        <v>380</v>
      </c>
      <c r="F96">
        <f>SUM(A96:C96)</f>
        <v>64639</v>
      </c>
      <c r="G96">
        <f>SUM(D96:E96)</f>
        <v>1124</v>
      </c>
      <c r="H96">
        <f>F96/G96</f>
        <v>57.508007117437721</v>
      </c>
      <c r="I96" t="str">
        <f>"1:"&amp;INT(F96/G96)</f>
        <v>1:57</v>
      </c>
      <c r="J96" t="str">
        <f>IF(H96&lt;=35,"Adequate",IF(H96&lt;=45,"Moderate","critical"))</f>
        <v>critical</v>
      </c>
    </row>
    <row r="97" spans="1:11" x14ac:dyDescent="0.3">
      <c r="A97" t="s">
        <v>95</v>
      </c>
      <c r="B97">
        <v>21881</v>
      </c>
      <c r="C97">
        <v>23643</v>
      </c>
      <c r="D97">
        <v>577</v>
      </c>
      <c r="E97">
        <v>211</v>
      </c>
      <c r="F97">
        <f>SUM(A97:C97)</f>
        <v>45524</v>
      </c>
      <c r="G97">
        <f>SUM(D97:E97)</f>
        <v>788</v>
      </c>
      <c r="H97">
        <f>F97/G97</f>
        <v>57.771573604060912</v>
      </c>
      <c r="I97" t="str">
        <f>"1:"&amp;INT(F97/G97)</f>
        <v>1:57</v>
      </c>
      <c r="J97" t="str">
        <f>IF(H97&lt;=35,"Adequate",IF(H97&lt;=45,"Moderate","critical"))</f>
        <v>critical</v>
      </c>
    </row>
    <row r="98" spans="1:11" x14ac:dyDescent="0.3">
      <c r="A98" t="s">
        <v>94</v>
      </c>
      <c r="B98">
        <v>26172</v>
      </c>
      <c r="C98">
        <v>43627</v>
      </c>
      <c r="D98">
        <v>719</v>
      </c>
      <c r="E98">
        <v>470</v>
      </c>
      <c r="F98">
        <f>SUM(A98:C98)</f>
        <v>69799</v>
      </c>
      <c r="G98">
        <f>SUM(D98:E98)</f>
        <v>1189</v>
      </c>
      <c r="H98">
        <f>F98/G98</f>
        <v>58.70395290159798</v>
      </c>
      <c r="I98" t="str">
        <f>"1:"&amp;INT(F98/G98)</f>
        <v>1:58</v>
      </c>
      <c r="J98" t="str">
        <f>IF(H98&lt;=35,"Adequate",IF(H98&lt;=45,"Moderate","critical"))</f>
        <v>critical</v>
      </c>
    </row>
    <row r="99" spans="1:11" x14ac:dyDescent="0.3">
      <c r="A99" t="s">
        <v>143</v>
      </c>
      <c r="B99">
        <v>26267</v>
      </c>
      <c r="C99">
        <v>46855</v>
      </c>
      <c r="D99">
        <v>862</v>
      </c>
      <c r="E99">
        <v>360</v>
      </c>
      <c r="F99">
        <f>SUM(A99:C99)</f>
        <v>73122</v>
      </c>
      <c r="G99">
        <f>SUM(D99:E99)</f>
        <v>1222</v>
      </c>
      <c r="H99">
        <f>F99/G99</f>
        <v>59.837970540098198</v>
      </c>
      <c r="I99" t="str">
        <f>"1:"&amp;INT(F99/G99)</f>
        <v>1:59</v>
      </c>
      <c r="J99" t="str">
        <f>IF(H99&lt;=35,"Adequate",IF(H99&lt;=45,"Moderate","critical"))</f>
        <v>critical</v>
      </c>
    </row>
    <row r="100" spans="1:11" x14ac:dyDescent="0.3">
      <c r="A100" t="s">
        <v>158</v>
      </c>
      <c r="B100">
        <v>40271</v>
      </c>
      <c r="C100">
        <v>53879</v>
      </c>
      <c r="D100">
        <v>767</v>
      </c>
      <c r="E100">
        <v>792</v>
      </c>
      <c r="F100">
        <f>SUM(A100:C100)</f>
        <v>94150</v>
      </c>
      <c r="G100">
        <f>SUM(D100:E100)</f>
        <v>1559</v>
      </c>
      <c r="H100">
        <f>F100/G100</f>
        <v>60.391276459268759</v>
      </c>
      <c r="I100" t="str">
        <f>"1:"&amp;INT(F100/G100)</f>
        <v>1:60</v>
      </c>
      <c r="J100" t="str">
        <f>IF(H100&lt;=35,"Adequate",IF(H100&lt;=45,"Moderate","critical"))</f>
        <v>critical</v>
      </c>
    </row>
    <row r="101" spans="1:11" x14ac:dyDescent="0.3">
      <c r="A101" t="s">
        <v>177</v>
      </c>
      <c r="B101">
        <v>27876</v>
      </c>
      <c r="C101">
        <v>49796</v>
      </c>
      <c r="D101">
        <v>823</v>
      </c>
      <c r="E101">
        <v>450</v>
      </c>
      <c r="F101">
        <f>SUM(A101:C101)</f>
        <v>77672</v>
      </c>
      <c r="G101">
        <f>SUM(D101:E101)</f>
        <v>1273</v>
      </c>
      <c r="H101">
        <f>F101/G101</f>
        <v>61.014925373134325</v>
      </c>
      <c r="I101" t="str">
        <f>"1:"&amp;INT(F101/G101)</f>
        <v>1:61</v>
      </c>
      <c r="J101" t="str">
        <f>IF(H101&lt;=35,"Adequate",IF(H101&lt;=45,"Moderate","critical"))</f>
        <v>critical</v>
      </c>
    </row>
    <row r="102" spans="1:11" x14ac:dyDescent="0.3">
      <c r="A102" t="s">
        <v>170</v>
      </c>
      <c r="B102">
        <v>14807</v>
      </c>
      <c r="C102">
        <v>20897</v>
      </c>
      <c r="D102">
        <v>271</v>
      </c>
      <c r="E102">
        <v>307</v>
      </c>
      <c r="F102">
        <f>SUM(A102:C102)</f>
        <v>35704</v>
      </c>
      <c r="G102">
        <f>SUM(D102:E102)</f>
        <v>578</v>
      </c>
      <c r="H102">
        <f>F102/G102</f>
        <v>61.771626297577853</v>
      </c>
      <c r="I102" t="str">
        <f>"1:"&amp;INT(F102/G102)</f>
        <v>1:61</v>
      </c>
      <c r="J102" t="str">
        <f>IF(H102&lt;=35,"Adequate",IF(H102&lt;=45,"Moderate","critical"))</f>
        <v>critical</v>
      </c>
    </row>
    <row r="103" spans="1:11" x14ac:dyDescent="0.3">
      <c r="A103" t="s">
        <v>60</v>
      </c>
      <c r="B103">
        <v>36651</v>
      </c>
      <c r="C103">
        <v>48513</v>
      </c>
      <c r="D103">
        <v>941</v>
      </c>
      <c r="E103">
        <v>437</v>
      </c>
      <c r="F103">
        <f>SUM(A103:C103)</f>
        <v>85164</v>
      </c>
      <c r="G103">
        <f>SUM(D103:E103)</f>
        <v>1378</v>
      </c>
      <c r="H103">
        <f>F103/G103</f>
        <v>61.802612481857764</v>
      </c>
      <c r="I103" t="str">
        <f>"1:"&amp;INT(F103/G103)</f>
        <v>1:61</v>
      </c>
      <c r="J103" t="str">
        <f>IF(H103&lt;=35,"Adequate",IF(H103&lt;=45,"Moderate","critical"))</f>
        <v>critical</v>
      </c>
    </row>
    <row r="104" spans="1:11" x14ac:dyDescent="0.3">
      <c r="A104" t="s">
        <v>32</v>
      </c>
      <c r="B104">
        <v>22236</v>
      </c>
      <c r="C104">
        <v>37834</v>
      </c>
      <c r="D104">
        <v>593</v>
      </c>
      <c r="E104">
        <v>373</v>
      </c>
      <c r="F104">
        <f>SUM(A104:C104)</f>
        <v>60070</v>
      </c>
      <c r="G104">
        <f>SUM(D104:E104)</f>
        <v>966</v>
      </c>
      <c r="H104">
        <f>F104/G104</f>
        <v>62.184265010351965</v>
      </c>
      <c r="I104" t="str">
        <f>"1:"&amp;INT(F104/G104)</f>
        <v>1:62</v>
      </c>
      <c r="J104" t="str">
        <f>IF(H104&lt;=35,"Adequate",IF(H104&lt;=45,"Moderate","critical"))</f>
        <v>critical</v>
      </c>
    </row>
    <row r="105" spans="1:11" x14ac:dyDescent="0.3">
      <c r="A105" t="s">
        <v>19</v>
      </c>
      <c r="B105">
        <v>23435</v>
      </c>
      <c r="C105">
        <v>11979</v>
      </c>
      <c r="D105">
        <v>289</v>
      </c>
      <c r="E105">
        <v>272</v>
      </c>
      <c r="F105">
        <f>SUM(A105:C105)</f>
        <v>35414</v>
      </c>
      <c r="G105">
        <f>SUM(D105:E105)</f>
        <v>561</v>
      </c>
      <c r="H105">
        <f>F105/G105</f>
        <v>63.126559714795007</v>
      </c>
      <c r="I105" t="str">
        <f>"1:"&amp;INT(F105/G105)</f>
        <v>1:63</v>
      </c>
      <c r="J105" t="str">
        <f>IF(H105&lt;=35,"Adequate",IF(H105&lt;=45,"Moderate","critical"))</f>
        <v>critical</v>
      </c>
      <c r="K105">
        <f>COUNTBLANK(A100:J286)</f>
        <v>999</v>
      </c>
    </row>
    <row r="106" spans="1:11" x14ac:dyDescent="0.3">
      <c r="A106" t="s">
        <v>63</v>
      </c>
      <c r="B106">
        <v>23238</v>
      </c>
      <c r="C106">
        <v>42897</v>
      </c>
      <c r="D106">
        <v>708</v>
      </c>
      <c r="E106">
        <v>335</v>
      </c>
      <c r="F106">
        <f>SUM(A106:C106)</f>
        <v>66135</v>
      </c>
      <c r="G106">
        <f>SUM(D106:E106)</f>
        <v>1043</v>
      </c>
      <c r="H106">
        <f>F106/G106</f>
        <v>63.40843720038351</v>
      </c>
      <c r="I106" t="str">
        <f>"1:"&amp;INT(F106/G106)</f>
        <v>1:63</v>
      </c>
      <c r="J106" t="str">
        <f>IF(H106&lt;=35,"Adequate",IF(H106&lt;=45,"Moderate","critical"))</f>
        <v>critical</v>
      </c>
    </row>
    <row r="107" spans="1:11" x14ac:dyDescent="0.3">
      <c r="A107" t="s">
        <v>92</v>
      </c>
      <c r="B107">
        <v>37638</v>
      </c>
      <c r="C107">
        <v>35128</v>
      </c>
      <c r="D107">
        <v>548</v>
      </c>
      <c r="E107">
        <v>590</v>
      </c>
      <c r="F107">
        <f>SUM(A107:C107)</f>
        <v>72766</v>
      </c>
      <c r="G107">
        <f>SUM(D107:E107)</f>
        <v>1138</v>
      </c>
      <c r="H107">
        <f>F107/G107</f>
        <v>63.942003514938492</v>
      </c>
      <c r="I107" t="str">
        <f>"1:"&amp;INT(F107/G107)</f>
        <v>1:63</v>
      </c>
      <c r="J107" t="str">
        <f>IF(H107&lt;=35,"Adequate",IF(H107&lt;=45,"Moderate","critical"))</f>
        <v>critical</v>
      </c>
    </row>
    <row r="108" spans="1:11" x14ac:dyDescent="0.3">
      <c r="A108" t="s">
        <v>76</v>
      </c>
      <c r="B108">
        <v>20314</v>
      </c>
      <c r="C108">
        <v>15320</v>
      </c>
      <c r="D108">
        <v>307</v>
      </c>
      <c r="E108">
        <v>248</v>
      </c>
      <c r="F108">
        <f>SUM(A108:C108)</f>
        <v>35634</v>
      </c>
      <c r="G108">
        <f>SUM(D108:E108)</f>
        <v>555</v>
      </c>
      <c r="H108">
        <f>F108/G108</f>
        <v>64.205405405405401</v>
      </c>
      <c r="I108" t="str">
        <f>"1:"&amp;INT(F108/G108)</f>
        <v>1:64</v>
      </c>
      <c r="J108" t="str">
        <f>IF(H108&lt;=35,"Adequate",IF(H108&lt;=45,"Moderate","critical"))</f>
        <v>critical</v>
      </c>
    </row>
    <row r="109" spans="1:11" x14ac:dyDescent="0.3">
      <c r="A109" t="s">
        <v>49</v>
      </c>
      <c r="B109">
        <v>17154</v>
      </c>
      <c r="C109">
        <v>10739</v>
      </c>
      <c r="D109">
        <v>232</v>
      </c>
      <c r="E109">
        <v>199</v>
      </c>
      <c r="F109">
        <f>SUM(A109:C109)</f>
        <v>27893</v>
      </c>
      <c r="G109">
        <f>SUM(D109:E109)</f>
        <v>431</v>
      </c>
      <c r="H109">
        <f>F109/G109</f>
        <v>64.716937354988403</v>
      </c>
      <c r="I109" t="str">
        <f>"1:"&amp;INT(F109/G109)</f>
        <v>1:64</v>
      </c>
      <c r="J109" t="str">
        <f>IF(H109&lt;=35,"Adequate",IF(H109&lt;=45,"Moderate","critical"))</f>
        <v>critical</v>
      </c>
    </row>
    <row r="110" spans="1:11" x14ac:dyDescent="0.3">
      <c r="A110" t="s">
        <v>62</v>
      </c>
      <c r="B110">
        <v>11724</v>
      </c>
      <c r="C110">
        <v>15622</v>
      </c>
      <c r="D110">
        <v>222</v>
      </c>
      <c r="E110">
        <v>199</v>
      </c>
      <c r="F110">
        <f>SUM(A110:C110)</f>
        <v>27346</v>
      </c>
      <c r="G110">
        <f>SUM(D110:E110)</f>
        <v>421</v>
      </c>
      <c r="H110">
        <f>F110/G110</f>
        <v>64.954869358669839</v>
      </c>
      <c r="I110" t="str">
        <f>"1:"&amp;INT(F110/G110)</f>
        <v>1:64</v>
      </c>
      <c r="J110" t="str">
        <f>IF(H110&lt;=35,"Adequate",IF(H110&lt;=45,"Moderate","critical"))</f>
        <v>critical</v>
      </c>
    </row>
    <row r="111" spans="1:11" x14ac:dyDescent="0.3">
      <c r="A111" t="s">
        <v>79</v>
      </c>
      <c r="B111">
        <v>32490</v>
      </c>
      <c r="C111">
        <v>42472</v>
      </c>
      <c r="D111">
        <v>588</v>
      </c>
      <c r="E111">
        <v>564</v>
      </c>
      <c r="F111">
        <f>SUM(A111:C111)</f>
        <v>74962</v>
      </c>
      <c r="G111">
        <f>SUM(D111:E111)</f>
        <v>1152</v>
      </c>
      <c r="H111">
        <f>F111/G111</f>
        <v>65.071180555555557</v>
      </c>
      <c r="I111" t="str">
        <f>"1:"&amp;INT(F111/G111)</f>
        <v>1:65</v>
      </c>
      <c r="J111" t="str">
        <f>IF(H111&lt;=35,"Adequate",IF(H111&lt;=45,"Moderate","critical"))</f>
        <v>critical</v>
      </c>
    </row>
    <row r="112" spans="1:11" x14ac:dyDescent="0.3">
      <c r="A112" t="s">
        <v>37</v>
      </c>
      <c r="B112">
        <v>30356</v>
      </c>
      <c r="C112">
        <v>9845</v>
      </c>
      <c r="D112">
        <v>203</v>
      </c>
      <c r="E112">
        <v>412</v>
      </c>
      <c r="F112">
        <f>SUM(A112:C112)</f>
        <v>40201</v>
      </c>
      <c r="G112">
        <f>SUM(D112:E112)</f>
        <v>615</v>
      </c>
      <c r="H112">
        <f>F112/G112</f>
        <v>65.367479674796755</v>
      </c>
      <c r="I112" t="str">
        <f>"1:"&amp;INT(F112/G112)</f>
        <v>1:65</v>
      </c>
      <c r="J112" t="str">
        <f>IF(H112&lt;=35,"Adequate",IF(H112&lt;=45,"Moderate","critical"))</f>
        <v>critical</v>
      </c>
    </row>
    <row r="113" spans="1:10" x14ac:dyDescent="0.3">
      <c r="A113" t="s">
        <v>138</v>
      </c>
      <c r="B113">
        <v>44147</v>
      </c>
      <c r="C113">
        <v>47722</v>
      </c>
      <c r="D113">
        <v>874</v>
      </c>
      <c r="E113">
        <v>505</v>
      </c>
      <c r="F113">
        <f>SUM(A113:C113)</f>
        <v>91869</v>
      </c>
      <c r="G113">
        <f>SUM(D113:E113)</f>
        <v>1379</v>
      </c>
      <c r="H113">
        <f>F113/G113</f>
        <v>66.620014503263235</v>
      </c>
      <c r="I113" t="str">
        <f>"1:"&amp;INT(F113/G113)</f>
        <v>1:66</v>
      </c>
      <c r="J113" t="str">
        <f>IF(H113&lt;=35,"Adequate",IF(H113&lt;=45,"Moderate","critical"))</f>
        <v>critical</v>
      </c>
    </row>
    <row r="114" spans="1:10" x14ac:dyDescent="0.3">
      <c r="A114" t="s">
        <v>53</v>
      </c>
      <c r="B114">
        <v>41386</v>
      </c>
      <c r="C114">
        <v>29752</v>
      </c>
      <c r="D114">
        <v>640</v>
      </c>
      <c r="E114">
        <v>422</v>
      </c>
      <c r="F114">
        <f>SUM(A114:C114)</f>
        <v>71138</v>
      </c>
      <c r="G114">
        <f>SUM(D114:E114)</f>
        <v>1062</v>
      </c>
      <c r="H114">
        <f>F114/G114</f>
        <v>66.984934086628996</v>
      </c>
      <c r="I114" t="str">
        <f>"1:"&amp;INT(F114/G114)</f>
        <v>1:66</v>
      </c>
      <c r="J114" t="str">
        <f>IF(H114&lt;=35,"Adequate",IF(H114&lt;=45,"Moderate","critical"))</f>
        <v>critical</v>
      </c>
    </row>
    <row r="115" spans="1:10" x14ac:dyDescent="0.3">
      <c r="A115" t="s">
        <v>75</v>
      </c>
      <c r="B115">
        <v>27549</v>
      </c>
      <c r="C115">
        <v>10735</v>
      </c>
      <c r="D115">
        <v>235</v>
      </c>
      <c r="E115">
        <v>333</v>
      </c>
      <c r="F115">
        <f>SUM(A115:C115)</f>
        <v>38284</v>
      </c>
      <c r="G115">
        <f>SUM(D115:E115)</f>
        <v>568</v>
      </c>
      <c r="H115">
        <f>F115/G115</f>
        <v>67.401408450704224</v>
      </c>
      <c r="I115" t="str">
        <f>"1:"&amp;INT(F115/G115)</f>
        <v>1:67</v>
      </c>
      <c r="J115" t="str">
        <f>IF(H115&lt;=35,"Adequate",IF(H115&lt;=45,"Moderate","critical"))</f>
        <v>critical</v>
      </c>
    </row>
    <row r="116" spans="1:10" x14ac:dyDescent="0.3">
      <c r="A116" t="s">
        <v>45</v>
      </c>
      <c r="B116">
        <v>39201</v>
      </c>
      <c r="C116">
        <v>26483</v>
      </c>
      <c r="D116">
        <v>564</v>
      </c>
      <c r="E116">
        <v>410</v>
      </c>
      <c r="F116">
        <f>SUM(A116:C116)</f>
        <v>65684</v>
      </c>
      <c r="G116">
        <f>SUM(D116:E116)</f>
        <v>974</v>
      </c>
      <c r="H116">
        <f>F116/G116</f>
        <v>67.437371663244349</v>
      </c>
      <c r="I116" t="str">
        <f>"1:"&amp;INT(F116/G116)</f>
        <v>1:67</v>
      </c>
      <c r="J116" t="str">
        <f>IF(H116&lt;=35,"Adequate",IF(H116&lt;=45,"Moderate","critical"))</f>
        <v>critical</v>
      </c>
    </row>
    <row r="117" spans="1:10" x14ac:dyDescent="0.3">
      <c r="A117" t="s">
        <v>52</v>
      </c>
      <c r="B117">
        <v>21107</v>
      </c>
      <c r="C117">
        <v>30235</v>
      </c>
      <c r="D117">
        <v>552</v>
      </c>
      <c r="E117">
        <v>207</v>
      </c>
      <c r="F117">
        <f>SUM(A117:C117)</f>
        <v>51342</v>
      </c>
      <c r="G117">
        <f>SUM(D117:E117)</f>
        <v>759</v>
      </c>
      <c r="H117">
        <f>F117/G117</f>
        <v>67.644268774703562</v>
      </c>
      <c r="I117" t="str">
        <f>"1:"&amp;INT(F117/G117)</f>
        <v>1:67</v>
      </c>
      <c r="J117" t="str">
        <f>IF(H117&lt;=35,"Adequate",IF(H117&lt;=45,"Moderate","critical"))</f>
        <v>critical</v>
      </c>
    </row>
    <row r="118" spans="1:10" x14ac:dyDescent="0.3">
      <c r="A118" t="s">
        <v>128</v>
      </c>
      <c r="B118">
        <v>29833</v>
      </c>
      <c r="C118">
        <v>46767</v>
      </c>
      <c r="D118">
        <v>611</v>
      </c>
      <c r="E118">
        <v>517</v>
      </c>
      <c r="F118">
        <f>SUM(A118:C118)</f>
        <v>76600</v>
      </c>
      <c r="G118">
        <f>SUM(D118:E118)</f>
        <v>1128</v>
      </c>
      <c r="H118">
        <f>F118/G118</f>
        <v>67.907801418439718</v>
      </c>
      <c r="I118" t="str">
        <f>"1:"&amp;INT(F118/G118)</f>
        <v>1:67</v>
      </c>
      <c r="J118" t="str">
        <f>IF(H118&lt;=35,"Adequate",IF(H118&lt;=45,"Moderate","critical"))</f>
        <v>critical</v>
      </c>
    </row>
    <row r="119" spans="1:10" x14ac:dyDescent="0.3">
      <c r="A119" t="s">
        <v>9</v>
      </c>
      <c r="B119">
        <v>26591</v>
      </c>
      <c r="C119">
        <v>31992</v>
      </c>
      <c r="D119">
        <v>569</v>
      </c>
      <c r="E119">
        <v>287</v>
      </c>
      <c r="F119">
        <f>SUM(A119:C119)</f>
        <v>58583</v>
      </c>
      <c r="G119">
        <f>SUM(D119:E119)</f>
        <v>856</v>
      </c>
      <c r="H119">
        <f>F119/G119</f>
        <v>68.438084112149539</v>
      </c>
      <c r="I119" t="str">
        <f>"1:"&amp;INT(F119/G119)</f>
        <v>1:68</v>
      </c>
      <c r="J119" t="str">
        <f>IF(H119&lt;=35,"Adequate",IF(H119&lt;=45,"Moderate","critical"))</f>
        <v>critical</v>
      </c>
    </row>
    <row r="120" spans="1:10" x14ac:dyDescent="0.3">
      <c r="A120" t="s">
        <v>152</v>
      </c>
      <c r="B120">
        <v>22383</v>
      </c>
      <c r="C120">
        <v>25375</v>
      </c>
      <c r="D120">
        <v>414</v>
      </c>
      <c r="E120">
        <v>282</v>
      </c>
      <c r="F120">
        <f>SUM(A120:C120)</f>
        <v>47758</v>
      </c>
      <c r="G120">
        <f>SUM(D120:E120)</f>
        <v>696</v>
      </c>
      <c r="H120">
        <f>F120/G120</f>
        <v>68.617816091954026</v>
      </c>
      <c r="I120" t="str">
        <f>"1:"&amp;INT(F120/G120)</f>
        <v>1:68</v>
      </c>
      <c r="J120" t="str">
        <f>IF(H120&lt;=35,"Adequate",IF(H120&lt;=45,"Moderate","critical"))</f>
        <v>critical</v>
      </c>
    </row>
    <row r="121" spans="1:10" x14ac:dyDescent="0.3">
      <c r="A121" t="s">
        <v>41</v>
      </c>
      <c r="B121">
        <v>36734</v>
      </c>
      <c r="C121">
        <v>28846</v>
      </c>
      <c r="D121">
        <v>446</v>
      </c>
      <c r="E121">
        <v>502</v>
      </c>
      <c r="F121">
        <f>SUM(A121:C121)</f>
        <v>65580</v>
      </c>
      <c r="G121">
        <f>SUM(D121:E121)</f>
        <v>948</v>
      </c>
      <c r="H121">
        <f>F121/G121</f>
        <v>69.177215189873422</v>
      </c>
      <c r="I121" t="str">
        <f>"1:"&amp;INT(F121/G121)</f>
        <v>1:69</v>
      </c>
      <c r="J121" t="str">
        <f>IF(H121&lt;=35,"Adequate",IF(H121&lt;=45,"Moderate","critical"))</f>
        <v>critical</v>
      </c>
    </row>
    <row r="122" spans="1:10" x14ac:dyDescent="0.3">
      <c r="A122" t="s">
        <v>34</v>
      </c>
      <c r="B122">
        <v>16909</v>
      </c>
      <c r="C122">
        <v>34809</v>
      </c>
      <c r="D122">
        <v>536</v>
      </c>
      <c r="E122">
        <v>210</v>
      </c>
      <c r="F122">
        <f>SUM(A122:C122)</f>
        <v>51718</v>
      </c>
      <c r="G122">
        <f>SUM(D122:E122)</f>
        <v>746</v>
      </c>
      <c r="H122">
        <f>F122/G122</f>
        <v>69.327077747989279</v>
      </c>
      <c r="I122" t="str">
        <f>"1:"&amp;INT(F122/G122)</f>
        <v>1:69</v>
      </c>
      <c r="J122" t="str">
        <f>IF(H122&lt;=35,"Adequate",IF(H122&lt;=45,"Moderate","critical"))</f>
        <v>critical</v>
      </c>
    </row>
    <row r="123" spans="1:10" x14ac:dyDescent="0.3">
      <c r="A123" t="s">
        <v>13</v>
      </c>
      <c r="B123">
        <v>22573</v>
      </c>
      <c r="C123">
        <v>20389</v>
      </c>
      <c r="D123">
        <v>405</v>
      </c>
      <c r="E123">
        <v>211</v>
      </c>
      <c r="F123">
        <f>SUM(A123:C123)</f>
        <v>42962</v>
      </c>
      <c r="G123">
        <f>SUM(D123:E123)</f>
        <v>616</v>
      </c>
      <c r="H123">
        <f>F123/G123</f>
        <v>69.743506493506487</v>
      </c>
      <c r="I123" t="str">
        <f>"1:"&amp;INT(F123/G123)</f>
        <v>1:69</v>
      </c>
      <c r="J123" t="str">
        <f>IF(H123&lt;=35,"Adequate",IF(H123&lt;=45,"Moderate","critical"))</f>
        <v>critical</v>
      </c>
    </row>
    <row r="124" spans="1:10" x14ac:dyDescent="0.3">
      <c r="A124" t="s">
        <v>116</v>
      </c>
      <c r="B124">
        <v>46731</v>
      </c>
      <c r="C124">
        <v>34491</v>
      </c>
      <c r="D124">
        <v>604</v>
      </c>
      <c r="E124">
        <v>554</v>
      </c>
      <c r="F124">
        <f>SUM(A124:C124)</f>
        <v>81222</v>
      </c>
      <c r="G124">
        <f>SUM(D124:E124)</f>
        <v>1158</v>
      </c>
      <c r="H124">
        <f>F124/G124</f>
        <v>70.139896373056999</v>
      </c>
      <c r="I124" t="str">
        <f>"1:"&amp;INT(F124/G124)</f>
        <v>1:70</v>
      </c>
      <c r="J124" t="str">
        <f>IF(H124&lt;=35,"Adequate",IF(H124&lt;=45,"Moderate","critical"))</f>
        <v>critical</v>
      </c>
    </row>
    <row r="125" spans="1:10" x14ac:dyDescent="0.3">
      <c r="A125" t="s">
        <v>35</v>
      </c>
      <c r="B125">
        <v>26377</v>
      </c>
      <c r="C125">
        <v>26635</v>
      </c>
      <c r="D125">
        <v>474</v>
      </c>
      <c r="E125">
        <v>279</v>
      </c>
      <c r="F125">
        <f>SUM(A125:C125)</f>
        <v>53012</v>
      </c>
      <c r="G125">
        <f>SUM(D125:E125)</f>
        <v>753</v>
      </c>
      <c r="H125">
        <f>F125/G125</f>
        <v>70.40106241699867</v>
      </c>
      <c r="I125" t="str">
        <f>"1:"&amp;INT(F125/G125)</f>
        <v>1:70</v>
      </c>
      <c r="J125" t="str">
        <f>IF(H125&lt;=35,"Adequate",IF(H125&lt;=45,"Moderate","critical"))</f>
        <v>critical</v>
      </c>
    </row>
    <row r="126" spans="1:10" x14ac:dyDescent="0.3">
      <c r="A126" t="s">
        <v>80</v>
      </c>
      <c r="B126">
        <v>23095</v>
      </c>
      <c r="C126">
        <v>32575</v>
      </c>
      <c r="D126">
        <v>509</v>
      </c>
      <c r="E126">
        <v>279</v>
      </c>
      <c r="F126">
        <f>SUM(A126:C126)</f>
        <v>55670</v>
      </c>
      <c r="G126">
        <f>SUM(D126:E126)</f>
        <v>788</v>
      </c>
      <c r="H126">
        <f>F126/G126</f>
        <v>70.647208121827404</v>
      </c>
      <c r="I126" t="str">
        <f>"1:"&amp;INT(F126/G126)</f>
        <v>1:70</v>
      </c>
      <c r="J126" t="str">
        <f>IF(H126&lt;=35,"Adequate",IF(H126&lt;=45,"Moderate","critical"))</f>
        <v>critical</v>
      </c>
    </row>
    <row r="127" spans="1:10" x14ac:dyDescent="0.3">
      <c r="A127" t="s">
        <v>31</v>
      </c>
      <c r="B127">
        <v>36894</v>
      </c>
      <c r="C127">
        <v>27281</v>
      </c>
      <c r="D127">
        <v>573</v>
      </c>
      <c r="E127">
        <v>330</v>
      </c>
      <c r="F127">
        <f>SUM(A127:C127)</f>
        <v>64175</v>
      </c>
      <c r="G127">
        <f>SUM(D127:E127)</f>
        <v>903</v>
      </c>
      <c r="H127">
        <f>F127/G127</f>
        <v>71.068660022148393</v>
      </c>
      <c r="I127" t="str">
        <f>"1:"&amp;INT(F127/G127)</f>
        <v>1:71</v>
      </c>
      <c r="J127" t="str">
        <f>IF(H127&lt;=35,"Adequate",IF(H127&lt;=45,"Moderate","critical"))</f>
        <v>critical</v>
      </c>
    </row>
    <row r="128" spans="1:10" x14ac:dyDescent="0.3">
      <c r="A128" t="s">
        <v>25</v>
      </c>
      <c r="B128">
        <v>43539</v>
      </c>
      <c r="C128">
        <v>21294</v>
      </c>
      <c r="D128">
        <v>551</v>
      </c>
      <c r="E128">
        <v>360</v>
      </c>
      <c r="F128">
        <f>SUM(A128:C128)</f>
        <v>64833</v>
      </c>
      <c r="G128">
        <f>SUM(D128:E128)</f>
        <v>911</v>
      </c>
      <c r="H128">
        <f>F128/G128</f>
        <v>71.166849615806811</v>
      </c>
      <c r="I128" t="str">
        <f>"1:"&amp;INT(F128/G128)</f>
        <v>1:71</v>
      </c>
      <c r="J128" t="str">
        <f>IF(H128&lt;=35,"Adequate",IF(H128&lt;=45,"Moderate","critical"))</f>
        <v>critical</v>
      </c>
    </row>
    <row r="129" spans="1:10" x14ac:dyDescent="0.3">
      <c r="A129" t="s">
        <v>112</v>
      </c>
      <c r="B129">
        <v>27866</v>
      </c>
      <c r="C129">
        <v>25354</v>
      </c>
      <c r="D129">
        <v>452</v>
      </c>
      <c r="E129">
        <v>295</v>
      </c>
      <c r="F129">
        <f>SUM(A129:C129)</f>
        <v>53220</v>
      </c>
      <c r="G129">
        <f>SUM(D129:E129)</f>
        <v>747</v>
      </c>
      <c r="H129">
        <f>F129/G129</f>
        <v>71.244979919678713</v>
      </c>
      <c r="I129" t="str">
        <f>"1:"&amp;INT(F129/G129)</f>
        <v>1:71</v>
      </c>
      <c r="J129" t="str">
        <f>IF(H129&lt;=35,"Adequate",IF(H129&lt;=45,"Moderate","critical"))</f>
        <v>critical</v>
      </c>
    </row>
    <row r="130" spans="1:10" x14ac:dyDescent="0.3">
      <c r="A130" t="s">
        <v>162</v>
      </c>
      <c r="B130">
        <v>17522</v>
      </c>
      <c r="C130">
        <v>24916</v>
      </c>
      <c r="D130">
        <v>287</v>
      </c>
      <c r="E130">
        <v>302</v>
      </c>
      <c r="F130">
        <f>SUM(A130:C130)</f>
        <v>42438</v>
      </c>
      <c r="G130">
        <f>SUM(D130:E130)</f>
        <v>589</v>
      </c>
      <c r="H130">
        <f>F130/G130</f>
        <v>72.050933786078105</v>
      </c>
      <c r="I130" t="str">
        <f>"1:"&amp;INT(F130/G130)</f>
        <v>1:72</v>
      </c>
      <c r="J130" t="str">
        <f>IF(H130&lt;=35,"Adequate",IF(H130&lt;=45,"Moderate","critical"))</f>
        <v>critical</v>
      </c>
    </row>
    <row r="131" spans="1:10" x14ac:dyDescent="0.3">
      <c r="A131" t="s">
        <v>137</v>
      </c>
      <c r="B131">
        <v>37673</v>
      </c>
      <c r="C131">
        <v>36678</v>
      </c>
      <c r="D131">
        <v>638</v>
      </c>
      <c r="E131">
        <v>389</v>
      </c>
      <c r="F131">
        <f>SUM(A131:C131)</f>
        <v>74351</v>
      </c>
      <c r="G131">
        <f>SUM(D131:E131)</f>
        <v>1027</v>
      </c>
      <c r="H131">
        <f>F131/G131</f>
        <v>72.396299902629011</v>
      </c>
      <c r="I131" t="str">
        <f>"1:"&amp;INT(F131/G131)</f>
        <v>1:72</v>
      </c>
      <c r="J131" t="str">
        <f>IF(H131&lt;=35,"Adequate",IF(H131&lt;=45,"Moderate","critical"))</f>
        <v>critical</v>
      </c>
    </row>
    <row r="132" spans="1:10" x14ac:dyDescent="0.3">
      <c r="A132" t="s">
        <v>180</v>
      </c>
      <c r="B132">
        <v>19441</v>
      </c>
      <c r="C132">
        <v>25830</v>
      </c>
      <c r="D132">
        <v>341</v>
      </c>
      <c r="E132">
        <v>284</v>
      </c>
      <c r="F132">
        <f>SUM(A132:C132)</f>
        <v>45271</v>
      </c>
      <c r="G132">
        <f>SUM(D132:E132)</f>
        <v>625</v>
      </c>
      <c r="H132">
        <f>F132/G132</f>
        <v>72.433599999999998</v>
      </c>
      <c r="I132" t="str">
        <f>"1:"&amp;INT(F132/G132)</f>
        <v>1:72</v>
      </c>
      <c r="J132" t="str">
        <f>IF(H132&lt;=35,"Adequate",IF(H132&lt;=45,"Moderate","critical"))</f>
        <v>critical</v>
      </c>
    </row>
    <row r="133" spans="1:10" x14ac:dyDescent="0.3">
      <c r="A133" t="s">
        <v>174</v>
      </c>
      <c r="B133">
        <v>47874</v>
      </c>
      <c r="C133">
        <v>45089</v>
      </c>
      <c r="D133">
        <v>753</v>
      </c>
      <c r="E133">
        <v>518</v>
      </c>
      <c r="F133">
        <f>SUM(A133:C133)</f>
        <v>92963</v>
      </c>
      <c r="G133">
        <f>SUM(D133:E133)</f>
        <v>1271</v>
      </c>
      <c r="H133">
        <f>F133/G133</f>
        <v>73.141620771046419</v>
      </c>
      <c r="I133" t="str">
        <f>"1:"&amp;INT(F133/G133)</f>
        <v>1:73</v>
      </c>
      <c r="J133" t="str">
        <f>IF(H133&lt;=35,"Adequate",IF(H133&lt;=45,"Moderate","critical"))</f>
        <v>critical</v>
      </c>
    </row>
    <row r="134" spans="1:10" x14ac:dyDescent="0.3">
      <c r="A134" t="s">
        <v>86</v>
      </c>
      <c r="B134">
        <v>48546</v>
      </c>
      <c r="C134">
        <v>52972</v>
      </c>
      <c r="D134">
        <v>868</v>
      </c>
      <c r="E134">
        <v>517</v>
      </c>
      <c r="F134">
        <f>SUM(A134:C134)</f>
        <v>101518</v>
      </c>
      <c r="G134">
        <f>SUM(D134:E134)</f>
        <v>1385</v>
      </c>
      <c r="H134">
        <f>F134/G134</f>
        <v>73.29819494584838</v>
      </c>
      <c r="I134" t="str">
        <f>"1:"&amp;INT(F134/G134)</f>
        <v>1:73</v>
      </c>
      <c r="J134" t="str">
        <f>IF(H134&lt;=35,"Adequate",IF(H134&lt;=45,"Moderate","critical"))</f>
        <v>critical</v>
      </c>
    </row>
    <row r="135" spans="1:10" x14ac:dyDescent="0.3">
      <c r="A135" t="s">
        <v>20</v>
      </c>
      <c r="B135">
        <v>39063</v>
      </c>
      <c r="C135">
        <v>39345</v>
      </c>
      <c r="D135">
        <v>598</v>
      </c>
      <c r="E135">
        <v>460</v>
      </c>
      <c r="F135">
        <f>SUM(A135:C135)</f>
        <v>78408</v>
      </c>
      <c r="G135">
        <f>SUM(D135:E135)</f>
        <v>1058</v>
      </c>
      <c r="H135">
        <f>F135/G135</f>
        <v>74.109640831758028</v>
      </c>
      <c r="I135" t="str">
        <f>"1:"&amp;INT(F135/G135)</f>
        <v>1:74</v>
      </c>
      <c r="J135" t="str">
        <f>IF(H135&lt;=35,"Adequate",IF(H135&lt;=45,"Moderate","critical"))</f>
        <v>critical</v>
      </c>
    </row>
    <row r="136" spans="1:10" x14ac:dyDescent="0.3">
      <c r="A136" t="s">
        <v>176</v>
      </c>
      <c r="B136">
        <v>25538</v>
      </c>
      <c r="C136">
        <v>34331</v>
      </c>
      <c r="D136">
        <v>438</v>
      </c>
      <c r="E136">
        <v>367</v>
      </c>
      <c r="F136">
        <f>SUM(A136:C136)</f>
        <v>59869</v>
      </c>
      <c r="G136">
        <f>SUM(D136:E136)</f>
        <v>805</v>
      </c>
      <c r="H136">
        <f>F136/G136</f>
        <v>74.371428571428567</v>
      </c>
      <c r="I136" t="str">
        <f>"1:"&amp;INT(F136/G136)</f>
        <v>1:74</v>
      </c>
      <c r="J136" t="str">
        <f>IF(H136&lt;=35,"Adequate",IF(H136&lt;=45,"Moderate","critical"))</f>
        <v>critical</v>
      </c>
    </row>
    <row r="137" spans="1:10" x14ac:dyDescent="0.3">
      <c r="A137" t="s">
        <v>184</v>
      </c>
      <c r="B137">
        <v>30488</v>
      </c>
      <c r="C137">
        <v>13501</v>
      </c>
      <c r="D137">
        <v>312</v>
      </c>
      <c r="E137">
        <v>277</v>
      </c>
      <c r="F137">
        <f>SUM(A137:C137)</f>
        <v>43989</v>
      </c>
      <c r="G137">
        <f>SUM(D137:E137)</f>
        <v>589</v>
      </c>
      <c r="H137">
        <f>F137/G137</f>
        <v>74.684210526315795</v>
      </c>
      <c r="I137" t="str">
        <f>"1:"&amp;INT(F137/G137)</f>
        <v>1:74</v>
      </c>
      <c r="J137" t="str">
        <f>IF(H137&lt;=35,"Adequate",IF(H137&lt;=45,"Moderate","critical"))</f>
        <v>critical</v>
      </c>
    </row>
    <row r="138" spans="1:10" x14ac:dyDescent="0.3">
      <c r="A138" t="s">
        <v>42</v>
      </c>
      <c r="B138">
        <v>39378</v>
      </c>
      <c r="C138">
        <v>35126</v>
      </c>
      <c r="D138">
        <v>611</v>
      </c>
      <c r="E138">
        <v>384</v>
      </c>
      <c r="F138">
        <f>SUM(A138:C138)</f>
        <v>74504</v>
      </c>
      <c r="G138">
        <f>SUM(D138:E138)</f>
        <v>995</v>
      </c>
      <c r="H138">
        <f>F138/G138</f>
        <v>74.878391959798989</v>
      </c>
      <c r="I138" t="str">
        <f>"1:"&amp;INT(F138/G138)</f>
        <v>1:74</v>
      </c>
      <c r="J138" t="str">
        <f>IF(H138&lt;=35,"Adequate",IF(H138&lt;=45,"Moderate","critical"))</f>
        <v>critical</v>
      </c>
    </row>
    <row r="139" spans="1:10" x14ac:dyDescent="0.3">
      <c r="A139" t="s">
        <v>150</v>
      </c>
      <c r="B139">
        <v>35231</v>
      </c>
      <c r="C139">
        <v>18972</v>
      </c>
      <c r="D139">
        <v>396</v>
      </c>
      <c r="E139">
        <v>325</v>
      </c>
      <c r="F139">
        <f>SUM(A139:C139)</f>
        <v>54203</v>
      </c>
      <c r="G139">
        <f>SUM(D139:E139)</f>
        <v>721</v>
      </c>
      <c r="H139">
        <f>F139/G139</f>
        <v>75.17753120665742</v>
      </c>
      <c r="I139" t="str">
        <f>"1:"&amp;INT(F139/G139)</f>
        <v>1:75</v>
      </c>
      <c r="J139" t="str">
        <f>IF(H139&lt;=35,"Adequate",IF(H139&lt;=45,"Moderate","critical"))</f>
        <v>critical</v>
      </c>
    </row>
    <row r="140" spans="1:10" x14ac:dyDescent="0.3">
      <c r="A140" t="s">
        <v>120</v>
      </c>
      <c r="B140">
        <v>48173</v>
      </c>
      <c r="C140">
        <v>29070</v>
      </c>
      <c r="D140">
        <v>504</v>
      </c>
      <c r="E140">
        <v>502</v>
      </c>
      <c r="F140">
        <f>SUM(A140:C140)</f>
        <v>77243</v>
      </c>
      <c r="G140">
        <f>SUM(D140:E140)</f>
        <v>1006</v>
      </c>
      <c r="H140">
        <f>F140/G140</f>
        <v>76.782306163021872</v>
      </c>
      <c r="I140" t="str">
        <f>"1:"&amp;INT(F140/G140)</f>
        <v>1:76</v>
      </c>
      <c r="J140" t="str">
        <f>IF(H140&lt;=35,"Adequate",IF(H140&lt;=45,"Moderate","critical"))</f>
        <v>critical</v>
      </c>
    </row>
    <row r="141" spans="1:10" x14ac:dyDescent="0.3">
      <c r="A141" t="s">
        <v>11</v>
      </c>
      <c r="B141">
        <v>29489</v>
      </c>
      <c r="C141">
        <v>18132</v>
      </c>
      <c r="D141">
        <v>411</v>
      </c>
      <c r="E141">
        <v>194</v>
      </c>
      <c r="F141">
        <f>SUM(A141:C141)</f>
        <v>47621</v>
      </c>
      <c r="G141">
        <f>SUM(D141:E141)</f>
        <v>605</v>
      </c>
      <c r="H141">
        <f>F141/G141</f>
        <v>78.712396694214874</v>
      </c>
      <c r="I141" t="str">
        <f>"1:"&amp;INT(F141/G141)</f>
        <v>1:78</v>
      </c>
      <c r="J141" t="str">
        <f>IF(H141&lt;=35,"Adequate",IF(H141&lt;=45,"Moderate","critical"))</f>
        <v>critical</v>
      </c>
    </row>
    <row r="142" spans="1:10" x14ac:dyDescent="0.3">
      <c r="A142" t="s">
        <v>163</v>
      </c>
      <c r="B142">
        <v>24490</v>
      </c>
      <c r="C142">
        <v>24181</v>
      </c>
      <c r="D142">
        <v>347</v>
      </c>
      <c r="E142">
        <v>270</v>
      </c>
      <c r="F142">
        <f>SUM(A142:C142)</f>
        <v>48671</v>
      </c>
      <c r="G142">
        <f>SUM(D142:E142)</f>
        <v>617</v>
      </c>
      <c r="H142">
        <f>F142/G142</f>
        <v>78.883306320907622</v>
      </c>
      <c r="I142" t="str">
        <f>"1:"&amp;INT(F142/G142)</f>
        <v>1:78</v>
      </c>
      <c r="J142" t="str">
        <f>IF(H142&lt;=35,"Adequate",IF(H142&lt;=45,"Moderate","critical"))</f>
        <v>critical</v>
      </c>
    </row>
    <row r="143" spans="1:10" x14ac:dyDescent="0.3">
      <c r="A143" t="s">
        <v>43</v>
      </c>
      <c r="B143">
        <v>23530</v>
      </c>
      <c r="C143">
        <v>11676</v>
      </c>
      <c r="D143">
        <v>317</v>
      </c>
      <c r="E143">
        <v>117</v>
      </c>
      <c r="F143">
        <f>SUM(A143:C143)</f>
        <v>35206</v>
      </c>
      <c r="G143">
        <f>SUM(D143:E143)</f>
        <v>434</v>
      </c>
      <c r="H143">
        <f>F143/G143</f>
        <v>81.119815668202762</v>
      </c>
      <c r="I143" t="str">
        <f>"1:"&amp;INT(F143/G143)</f>
        <v>1:81</v>
      </c>
      <c r="J143" t="str">
        <f>IF(H143&lt;=35,"Adequate",IF(H143&lt;=45,"Moderate","critical"))</f>
        <v>critical</v>
      </c>
    </row>
    <row r="144" spans="1:10" x14ac:dyDescent="0.3">
      <c r="A144" t="s">
        <v>47</v>
      </c>
      <c r="B144">
        <v>35126</v>
      </c>
      <c r="C144">
        <v>13417</v>
      </c>
      <c r="D144">
        <v>207</v>
      </c>
      <c r="E144">
        <v>391</v>
      </c>
      <c r="F144">
        <f>SUM(A144:C144)</f>
        <v>48543</v>
      </c>
      <c r="G144">
        <f>SUM(D144:E144)</f>
        <v>598</v>
      </c>
      <c r="H144">
        <f>F144/G144</f>
        <v>81.175585284280942</v>
      </c>
      <c r="I144" t="str">
        <f>"1:"&amp;INT(F144/G144)</f>
        <v>1:81</v>
      </c>
      <c r="J144" t="str">
        <f>IF(H144&lt;=35,"Adequate",IF(H144&lt;=45,"Moderate","critical"))</f>
        <v>critical</v>
      </c>
    </row>
    <row r="145" spans="1:10" x14ac:dyDescent="0.3">
      <c r="A145" t="s">
        <v>97</v>
      </c>
      <c r="B145">
        <v>25895</v>
      </c>
      <c r="C145">
        <v>13819</v>
      </c>
      <c r="D145">
        <v>292</v>
      </c>
      <c r="E145">
        <v>196</v>
      </c>
      <c r="F145">
        <f>SUM(A145:C145)</f>
        <v>39714</v>
      </c>
      <c r="G145">
        <f>SUM(D145:E145)</f>
        <v>488</v>
      </c>
      <c r="H145">
        <f>F145/G145</f>
        <v>81.381147540983605</v>
      </c>
      <c r="I145" t="str">
        <f>"1:"&amp;INT(F145/G145)</f>
        <v>1:81</v>
      </c>
      <c r="J145" t="str">
        <f>IF(H145&lt;=35,"Adequate",IF(H145&lt;=45,"Moderate","critical"))</f>
        <v>critical</v>
      </c>
    </row>
    <row r="146" spans="1:10" x14ac:dyDescent="0.3">
      <c r="A146" t="s">
        <v>172</v>
      </c>
      <c r="B146">
        <v>44579</v>
      </c>
      <c r="C146">
        <v>13387</v>
      </c>
      <c r="D146">
        <v>281</v>
      </c>
      <c r="E146">
        <v>422</v>
      </c>
      <c r="F146">
        <f>SUM(A146:C146)</f>
        <v>57966</v>
      </c>
      <c r="G146">
        <f>SUM(D146:E146)</f>
        <v>703</v>
      </c>
      <c r="H146">
        <f>F146/G146</f>
        <v>82.455192034139401</v>
      </c>
      <c r="I146" t="str">
        <f>"1:"&amp;INT(F146/G146)</f>
        <v>1:82</v>
      </c>
      <c r="J146" t="str">
        <f>IF(H146&lt;=35,"Adequate",IF(H146&lt;=45,"Moderate","critical"))</f>
        <v>critical</v>
      </c>
    </row>
    <row r="147" spans="1:10" x14ac:dyDescent="0.3">
      <c r="A147" t="s">
        <v>58</v>
      </c>
      <c r="B147">
        <v>47812</v>
      </c>
      <c r="C147">
        <v>22789</v>
      </c>
      <c r="D147">
        <v>382</v>
      </c>
      <c r="E147">
        <v>465</v>
      </c>
      <c r="F147">
        <f>SUM(A147:C147)</f>
        <v>70601</v>
      </c>
      <c r="G147">
        <f>SUM(D147:E147)</f>
        <v>847</v>
      </c>
      <c r="H147">
        <f>F147/G147</f>
        <v>83.354191263282175</v>
      </c>
      <c r="I147" t="str">
        <f>"1:"&amp;INT(F147/G147)</f>
        <v>1:83</v>
      </c>
      <c r="J147" t="str">
        <f>IF(H147&lt;=35,"Adequate",IF(H147&lt;=45,"Moderate","critical"))</f>
        <v>critical</v>
      </c>
    </row>
    <row r="148" spans="1:10" x14ac:dyDescent="0.3">
      <c r="A148" t="s">
        <v>186</v>
      </c>
      <c r="B148">
        <v>45553</v>
      </c>
      <c r="C148">
        <v>15735</v>
      </c>
      <c r="D148">
        <v>347</v>
      </c>
      <c r="E148">
        <v>383</v>
      </c>
      <c r="F148">
        <f>SUM(A148:C148)</f>
        <v>61288</v>
      </c>
      <c r="G148">
        <f>SUM(D148:E148)</f>
        <v>730</v>
      </c>
      <c r="H148">
        <f>F148/G148</f>
        <v>83.956164383561642</v>
      </c>
      <c r="I148" t="str">
        <f>"1:"&amp;INT(F148/G148)</f>
        <v>1:83</v>
      </c>
      <c r="J148" t="str">
        <f>IF(H148&lt;=35,"Adequate",IF(H148&lt;=45,"Moderate","critical"))</f>
        <v>critical</v>
      </c>
    </row>
    <row r="149" spans="1:10" x14ac:dyDescent="0.3">
      <c r="A149" t="s">
        <v>183</v>
      </c>
      <c r="B149">
        <v>33358</v>
      </c>
      <c r="C149">
        <v>11097</v>
      </c>
      <c r="D149">
        <v>208</v>
      </c>
      <c r="E149">
        <v>318</v>
      </c>
      <c r="F149">
        <f>SUM(A149:C149)</f>
        <v>44455</v>
      </c>
      <c r="G149">
        <f>SUM(D149:E149)</f>
        <v>526</v>
      </c>
      <c r="H149">
        <f>F149/G149</f>
        <v>84.51520912547528</v>
      </c>
      <c r="I149" t="str">
        <f>"1:"&amp;INT(F149/G149)</f>
        <v>1:84</v>
      </c>
      <c r="J149" t="str">
        <f>IF(H149&lt;=35,"Adequate",IF(H149&lt;=45,"Moderate","critical"))</f>
        <v>critical</v>
      </c>
    </row>
    <row r="150" spans="1:10" x14ac:dyDescent="0.3">
      <c r="A150" t="s">
        <v>115</v>
      </c>
      <c r="B150">
        <v>51771</v>
      </c>
      <c r="C150">
        <v>31953</v>
      </c>
      <c r="D150">
        <v>682</v>
      </c>
      <c r="E150">
        <v>293</v>
      </c>
      <c r="F150">
        <f>SUM(A150:C150)</f>
        <v>83724</v>
      </c>
      <c r="G150">
        <f>SUM(D150:E150)</f>
        <v>975</v>
      </c>
      <c r="H150">
        <f>F150/G150</f>
        <v>85.870769230769227</v>
      </c>
      <c r="I150" t="str">
        <f>"1:"&amp;INT(F150/G150)</f>
        <v>1:85</v>
      </c>
      <c r="J150" t="str">
        <f>IF(H150&lt;=35,"Adequate",IF(H150&lt;=45,"Moderate","critical"))</f>
        <v>critical</v>
      </c>
    </row>
    <row r="151" spans="1:10" x14ac:dyDescent="0.3">
      <c r="A151" t="s">
        <v>83</v>
      </c>
      <c r="B151">
        <v>18680</v>
      </c>
      <c r="C151">
        <v>5701</v>
      </c>
      <c r="D151">
        <v>166</v>
      </c>
      <c r="E151">
        <v>114</v>
      </c>
      <c r="F151">
        <f>SUM(A151:C151)</f>
        <v>24381</v>
      </c>
      <c r="G151">
        <f>SUM(D151:E151)</f>
        <v>280</v>
      </c>
      <c r="H151">
        <f>F151/G151</f>
        <v>87.075000000000003</v>
      </c>
      <c r="I151" t="str">
        <f>"1:"&amp;INT(F151/G151)</f>
        <v>1:87</v>
      </c>
      <c r="J151" t="str">
        <f>IF(H151&lt;=35,"Adequate",IF(H151&lt;=45,"Moderate","critical"))</f>
        <v>critical</v>
      </c>
    </row>
    <row r="152" spans="1:10" x14ac:dyDescent="0.3">
      <c r="A152" t="s">
        <v>85</v>
      </c>
      <c r="B152">
        <v>43727</v>
      </c>
      <c r="C152">
        <v>29397</v>
      </c>
      <c r="D152">
        <v>476</v>
      </c>
      <c r="E152">
        <v>362</v>
      </c>
      <c r="F152">
        <f>SUM(A152:C152)</f>
        <v>73124</v>
      </c>
      <c r="G152">
        <f>SUM(D152:E152)</f>
        <v>838</v>
      </c>
      <c r="H152">
        <f>F152/G152</f>
        <v>87.260143198090688</v>
      </c>
      <c r="I152" t="str">
        <f>"1:"&amp;INT(F152/G152)</f>
        <v>1:87</v>
      </c>
      <c r="J152" t="str">
        <f>IF(H152&lt;=35,"Adequate",IF(H152&lt;=45,"Moderate","critical"))</f>
        <v>critical</v>
      </c>
    </row>
    <row r="153" spans="1:10" x14ac:dyDescent="0.3">
      <c r="A153" t="s">
        <v>119</v>
      </c>
      <c r="B153">
        <v>51306</v>
      </c>
      <c r="C153">
        <v>37598</v>
      </c>
      <c r="D153">
        <v>588</v>
      </c>
      <c r="E153">
        <v>384</v>
      </c>
      <c r="F153">
        <f>SUM(A153:C153)</f>
        <v>88904</v>
      </c>
      <c r="G153">
        <f>SUM(D153:E153)</f>
        <v>972</v>
      </c>
      <c r="H153">
        <f>F153/G153</f>
        <v>91.465020576131693</v>
      </c>
      <c r="I153" t="str">
        <f>"1:"&amp;INT(F153/G153)</f>
        <v>1:91</v>
      </c>
      <c r="J153" t="str">
        <f>IF(H153&lt;=35,"Adequate",IF(H153&lt;=45,"Moderate","critical"))</f>
        <v>critical</v>
      </c>
    </row>
    <row r="154" spans="1:10" x14ac:dyDescent="0.3">
      <c r="A154" t="s">
        <v>16</v>
      </c>
      <c r="B154">
        <v>57445</v>
      </c>
      <c r="C154">
        <v>18694</v>
      </c>
      <c r="D154">
        <v>468</v>
      </c>
      <c r="E154">
        <v>358</v>
      </c>
      <c r="F154">
        <f>SUM(A154:C154)</f>
        <v>76139</v>
      </c>
      <c r="G154">
        <f>SUM(D154:E154)</f>
        <v>826</v>
      </c>
      <c r="H154">
        <f>F154/G154</f>
        <v>92.177966101694921</v>
      </c>
      <c r="I154" t="str">
        <f>"1:"&amp;INT(F154/G154)</f>
        <v>1:92</v>
      </c>
      <c r="J154" t="str">
        <f>IF(H154&lt;=35,"Adequate",IF(H154&lt;=45,"Moderate","critical"))</f>
        <v>critical</v>
      </c>
    </row>
    <row r="155" spans="1:10" x14ac:dyDescent="0.3">
      <c r="A155" t="s">
        <v>84</v>
      </c>
      <c r="B155">
        <v>45669</v>
      </c>
      <c r="C155">
        <v>25750</v>
      </c>
      <c r="D155">
        <v>382</v>
      </c>
      <c r="E155">
        <v>388</v>
      </c>
      <c r="F155">
        <f>SUM(A155:C155)</f>
        <v>71419</v>
      </c>
      <c r="G155">
        <f>SUM(D155:E155)</f>
        <v>770</v>
      </c>
      <c r="H155">
        <f>F155/G155</f>
        <v>92.751948051948048</v>
      </c>
      <c r="I155" t="str">
        <f>"1:"&amp;INT(F155/G155)</f>
        <v>1:92</v>
      </c>
      <c r="J155" t="str">
        <f>IF(H155&lt;=35,"Adequate",IF(H155&lt;=45,"Moderate","critical"))</f>
        <v>critical</v>
      </c>
    </row>
    <row r="156" spans="1:10" x14ac:dyDescent="0.3">
      <c r="A156" t="s">
        <v>38</v>
      </c>
      <c r="B156">
        <v>44855</v>
      </c>
      <c r="C156">
        <v>17547</v>
      </c>
      <c r="D156">
        <v>387</v>
      </c>
      <c r="E156">
        <v>275</v>
      </c>
      <c r="F156">
        <f>SUM(A156:C156)</f>
        <v>62402</v>
      </c>
      <c r="G156">
        <f>SUM(D156:E156)</f>
        <v>662</v>
      </c>
      <c r="H156">
        <f>F156/G156</f>
        <v>94.262839879154072</v>
      </c>
      <c r="I156" t="str">
        <f>"1:"&amp;INT(F156/G156)</f>
        <v>1:94</v>
      </c>
      <c r="J156" t="str">
        <f>IF(H156&lt;=35,"Adequate",IF(H156&lt;=45,"Moderate","critical"))</f>
        <v>critical</v>
      </c>
    </row>
    <row r="157" spans="1:10" x14ac:dyDescent="0.3">
      <c r="A157" t="s">
        <v>165</v>
      </c>
      <c r="B157">
        <v>34230</v>
      </c>
      <c r="C157">
        <v>12034</v>
      </c>
      <c r="D157">
        <v>305</v>
      </c>
      <c r="E157">
        <v>185</v>
      </c>
      <c r="F157">
        <f>SUM(A157:C157)</f>
        <v>46264</v>
      </c>
      <c r="G157">
        <f>SUM(D157:E157)</f>
        <v>490</v>
      </c>
      <c r="H157">
        <f>F157/G157</f>
        <v>94.416326530612238</v>
      </c>
      <c r="I157" t="str">
        <f>"1:"&amp;INT(F157/G157)</f>
        <v>1:94</v>
      </c>
      <c r="J157" t="str">
        <f>IF(H157&lt;=35,"Adequate",IF(H157&lt;=45,"Moderate","critical"))</f>
        <v>critical</v>
      </c>
    </row>
    <row r="158" spans="1:10" x14ac:dyDescent="0.3">
      <c r="A158" t="s">
        <v>126</v>
      </c>
      <c r="B158">
        <v>18906</v>
      </c>
      <c r="C158">
        <v>6747</v>
      </c>
      <c r="D158">
        <v>139</v>
      </c>
      <c r="E158">
        <v>132</v>
      </c>
      <c r="F158">
        <f>SUM(A158:C158)</f>
        <v>25653</v>
      </c>
      <c r="G158">
        <f>SUM(D158:E158)</f>
        <v>271</v>
      </c>
      <c r="H158">
        <f>F158/G158</f>
        <v>94.660516605166052</v>
      </c>
      <c r="I158" t="str">
        <f>"1:"&amp;INT(F158/G158)</f>
        <v>1:94</v>
      </c>
      <c r="J158" t="str">
        <f>IF(H158&lt;=35,"Adequate",IF(H158&lt;=45,"Moderate","critical"))</f>
        <v>critical</v>
      </c>
    </row>
    <row r="159" spans="1:10" x14ac:dyDescent="0.3">
      <c r="A159" t="s">
        <v>22</v>
      </c>
      <c r="B159">
        <v>56753</v>
      </c>
      <c r="C159">
        <v>37658</v>
      </c>
      <c r="D159">
        <v>657</v>
      </c>
      <c r="E159">
        <v>333</v>
      </c>
      <c r="F159">
        <f>SUM(A159:C159)</f>
        <v>94411</v>
      </c>
      <c r="G159">
        <f>SUM(D159:E159)</f>
        <v>990</v>
      </c>
      <c r="H159">
        <f>F159/G159</f>
        <v>95.364646464646469</v>
      </c>
      <c r="I159" t="str">
        <f>"1:"&amp;INT(F159/G159)</f>
        <v>1:95</v>
      </c>
      <c r="J159" t="str">
        <f>IF(H159&lt;=35,"Adequate",IF(H159&lt;=45,"Moderate","critical"))</f>
        <v>critical</v>
      </c>
    </row>
    <row r="160" spans="1:10" x14ac:dyDescent="0.3">
      <c r="A160" t="s">
        <v>74</v>
      </c>
      <c r="B160">
        <v>35641</v>
      </c>
      <c r="C160">
        <v>10058</v>
      </c>
      <c r="D160">
        <v>189</v>
      </c>
      <c r="E160">
        <v>276</v>
      </c>
      <c r="F160">
        <f>SUM(A160:C160)</f>
        <v>45699</v>
      </c>
      <c r="G160">
        <f>SUM(D160:E160)</f>
        <v>465</v>
      </c>
      <c r="H160">
        <f>F160/G160</f>
        <v>98.277419354838713</v>
      </c>
      <c r="I160" t="str">
        <f>"1:"&amp;INT(F160/G160)</f>
        <v>1:98</v>
      </c>
      <c r="J160" t="str">
        <f>IF(H160&lt;=35,"Adequate",IF(H160&lt;=45,"Moderate","critical"))</f>
        <v>critical</v>
      </c>
    </row>
    <row r="161" spans="1:10" x14ac:dyDescent="0.3">
      <c r="A161" t="s">
        <v>66</v>
      </c>
      <c r="B161">
        <v>26691</v>
      </c>
      <c r="C161">
        <v>10424</v>
      </c>
      <c r="D161">
        <v>259</v>
      </c>
      <c r="E161">
        <v>118</v>
      </c>
      <c r="F161">
        <f>SUM(A161:C161)</f>
        <v>37115</v>
      </c>
      <c r="G161">
        <f>SUM(D161:E161)</f>
        <v>377</v>
      </c>
      <c r="H161">
        <f>F161/G161</f>
        <v>98.448275862068968</v>
      </c>
      <c r="I161" t="str">
        <f>"1:"&amp;INT(F161/G161)</f>
        <v>1:98</v>
      </c>
      <c r="J161" t="str">
        <f>IF(H161&lt;=35,"Adequate",IF(H161&lt;=45,"Moderate","critical"))</f>
        <v>critical</v>
      </c>
    </row>
    <row r="162" spans="1:10" x14ac:dyDescent="0.3">
      <c r="A162" t="s">
        <v>118</v>
      </c>
      <c r="B162">
        <v>57536</v>
      </c>
      <c r="C162">
        <v>32254</v>
      </c>
      <c r="D162">
        <v>632</v>
      </c>
      <c r="E162">
        <v>265</v>
      </c>
      <c r="F162">
        <f>SUM(A162:C162)</f>
        <v>89790</v>
      </c>
      <c r="G162">
        <f>SUM(D162:E162)</f>
        <v>897</v>
      </c>
      <c r="H162">
        <f>F162/G162</f>
        <v>100.10033444816054</v>
      </c>
      <c r="I162" t="str">
        <f>"1:"&amp;INT(F162/G162)</f>
        <v>1:100</v>
      </c>
      <c r="J162" t="str">
        <f>IF(H162&lt;=35,"Adequate",IF(H162&lt;=45,"Moderate","critical"))</f>
        <v>critical</v>
      </c>
    </row>
    <row r="163" spans="1:10" x14ac:dyDescent="0.3">
      <c r="A163" t="s">
        <v>18</v>
      </c>
      <c r="B163">
        <v>63920</v>
      </c>
      <c r="C163">
        <v>34875</v>
      </c>
      <c r="D163">
        <v>598</v>
      </c>
      <c r="E163">
        <v>375</v>
      </c>
      <c r="F163">
        <f>SUM(A163:C163)</f>
        <v>98795</v>
      </c>
      <c r="G163">
        <f>SUM(D163:E163)</f>
        <v>973</v>
      </c>
      <c r="H163">
        <f>F163/G163</f>
        <v>101.53648509763617</v>
      </c>
      <c r="I163" t="str">
        <f>"1:"&amp;INT(F163/G163)</f>
        <v>1:101</v>
      </c>
      <c r="J163" t="str">
        <f>IF(H163&lt;=35,"Adequate",IF(H163&lt;=45,"Moderate","critical"))</f>
        <v>critical</v>
      </c>
    </row>
    <row r="164" spans="1:10" x14ac:dyDescent="0.3">
      <c r="A164" t="s">
        <v>153</v>
      </c>
      <c r="B164">
        <v>40184</v>
      </c>
      <c r="C164">
        <v>14802</v>
      </c>
      <c r="D164">
        <v>301</v>
      </c>
      <c r="E164">
        <v>233</v>
      </c>
      <c r="F164">
        <f>SUM(A164:C164)</f>
        <v>54986</v>
      </c>
      <c r="G164">
        <f>SUM(D164:E164)</f>
        <v>534</v>
      </c>
      <c r="H164">
        <f>F164/G164</f>
        <v>102.97003745318352</v>
      </c>
      <c r="I164" t="str">
        <f>"1:"&amp;INT(F164/G164)</f>
        <v>1:102</v>
      </c>
      <c r="J164" t="str">
        <f>IF(H164&lt;=35,"Adequate",IF(H164&lt;=45,"Moderate","critical"))</f>
        <v>critical</v>
      </c>
    </row>
    <row r="165" spans="1:10" x14ac:dyDescent="0.3">
      <c r="A165" t="s">
        <v>136</v>
      </c>
      <c r="B165">
        <v>30474</v>
      </c>
      <c r="C165">
        <v>21385</v>
      </c>
      <c r="D165">
        <v>344</v>
      </c>
      <c r="E165">
        <v>158</v>
      </c>
      <c r="F165">
        <f>SUM(A165:C165)</f>
        <v>51859</v>
      </c>
      <c r="G165">
        <f>SUM(D165:E165)</f>
        <v>502</v>
      </c>
      <c r="H165">
        <f>F165/G165</f>
        <v>103.30478087649402</v>
      </c>
      <c r="I165" t="str">
        <f>"1:"&amp;INT(F165/G165)</f>
        <v>1:103</v>
      </c>
      <c r="J165" t="str">
        <f>IF(H165&lt;=35,"Adequate",IF(H165&lt;=45,"Moderate","critical"))</f>
        <v>critical</v>
      </c>
    </row>
    <row r="166" spans="1:10" x14ac:dyDescent="0.3">
      <c r="A166" t="s">
        <v>28</v>
      </c>
      <c r="B166">
        <v>72695</v>
      </c>
      <c r="C166">
        <v>46646</v>
      </c>
      <c r="D166">
        <v>661</v>
      </c>
      <c r="E166">
        <v>470</v>
      </c>
      <c r="F166">
        <f>SUM(A166:C166)</f>
        <v>119341</v>
      </c>
      <c r="G166">
        <f>SUM(D166:E166)</f>
        <v>1131</v>
      </c>
      <c r="H166">
        <f>F166/G166</f>
        <v>105.51812555260831</v>
      </c>
      <c r="I166" t="str">
        <f>"1:"&amp;INT(F166/G166)</f>
        <v>1:105</v>
      </c>
      <c r="J166" t="str">
        <f>IF(H166&lt;=35,"Adequate",IF(H166&lt;=45,"Moderate","critical"))</f>
        <v>critical</v>
      </c>
    </row>
    <row r="167" spans="1:10" x14ac:dyDescent="0.3">
      <c r="A167" t="s">
        <v>109</v>
      </c>
      <c r="B167">
        <v>17666</v>
      </c>
      <c r="C167">
        <v>5506</v>
      </c>
      <c r="D167">
        <v>132</v>
      </c>
      <c r="E167">
        <v>86</v>
      </c>
      <c r="F167">
        <f>SUM(A167:C167)</f>
        <v>23172</v>
      </c>
      <c r="G167">
        <f>SUM(D167:E167)</f>
        <v>218</v>
      </c>
      <c r="H167">
        <f>F167/G167</f>
        <v>106.29357798165138</v>
      </c>
      <c r="I167" t="str">
        <f>"1:"&amp;INT(F167/G167)</f>
        <v>1:106</v>
      </c>
      <c r="J167" t="str">
        <f>IF(H167&lt;=35,"Adequate",IF(H167&lt;=45,"Moderate","critical"))</f>
        <v>critical</v>
      </c>
    </row>
    <row r="168" spans="1:10" x14ac:dyDescent="0.3">
      <c r="A168" t="s">
        <v>159</v>
      </c>
      <c r="B168">
        <v>32498</v>
      </c>
      <c r="C168">
        <v>11783</v>
      </c>
      <c r="D168">
        <v>281</v>
      </c>
      <c r="E168">
        <v>122</v>
      </c>
      <c r="F168">
        <f>SUM(A168:C168)</f>
        <v>44281</v>
      </c>
      <c r="G168">
        <f>SUM(D168:E168)</f>
        <v>403</v>
      </c>
      <c r="H168">
        <f>F168/G168</f>
        <v>109.87841191066998</v>
      </c>
      <c r="I168" t="str">
        <f>"1:"&amp;INT(F168/G168)</f>
        <v>1:109</v>
      </c>
      <c r="J168" t="str">
        <f>IF(H168&lt;=35,"Adequate",IF(H168&lt;=45,"Moderate","critical"))</f>
        <v>critical</v>
      </c>
    </row>
    <row r="169" spans="1:10" x14ac:dyDescent="0.3">
      <c r="A169" t="s">
        <v>91</v>
      </c>
      <c r="B169">
        <v>33658</v>
      </c>
      <c r="C169">
        <v>14922</v>
      </c>
      <c r="D169">
        <v>279</v>
      </c>
      <c r="E169">
        <v>158</v>
      </c>
      <c r="F169">
        <f>SUM(A169:C169)</f>
        <v>48580</v>
      </c>
      <c r="G169">
        <f>SUM(D169:E169)</f>
        <v>437</v>
      </c>
      <c r="H169">
        <f>F169/G169</f>
        <v>111.1670480549199</v>
      </c>
      <c r="I169" t="str">
        <f>"1:"&amp;INT(F169/G169)</f>
        <v>1:111</v>
      </c>
      <c r="J169" t="str">
        <f>IF(H169&lt;=35,"Adequate",IF(H169&lt;=45,"Moderate","critical"))</f>
        <v>critical</v>
      </c>
    </row>
    <row r="170" spans="1:10" x14ac:dyDescent="0.3">
      <c r="A170" t="s">
        <v>146</v>
      </c>
      <c r="B170">
        <v>26317</v>
      </c>
      <c r="C170">
        <v>16275</v>
      </c>
      <c r="D170">
        <v>257</v>
      </c>
      <c r="E170">
        <v>121</v>
      </c>
      <c r="F170">
        <f>SUM(A170:C170)</f>
        <v>42592</v>
      </c>
      <c r="G170">
        <f>SUM(D170:E170)</f>
        <v>378</v>
      </c>
      <c r="H170">
        <f>F170/G170</f>
        <v>112.67724867724868</v>
      </c>
      <c r="I170" t="str">
        <f>"1:"&amp;INT(F170/G170)</f>
        <v>1:112</v>
      </c>
      <c r="J170" t="str">
        <f>IF(H170&lt;=35,"Adequate",IF(H170&lt;=45,"Moderate","critical"))</f>
        <v>critical</v>
      </c>
    </row>
    <row r="171" spans="1:10" x14ac:dyDescent="0.3">
      <c r="A171" t="s">
        <v>151</v>
      </c>
      <c r="B171">
        <v>42018</v>
      </c>
      <c r="C171">
        <v>17351</v>
      </c>
      <c r="D171">
        <v>323</v>
      </c>
      <c r="E171">
        <v>202</v>
      </c>
      <c r="F171">
        <f>SUM(A171:C171)</f>
        <v>59369</v>
      </c>
      <c r="G171">
        <f>SUM(D171:E171)</f>
        <v>525</v>
      </c>
      <c r="H171">
        <f>F171/G171</f>
        <v>113.08380952380952</v>
      </c>
      <c r="I171" t="str">
        <f>"1:"&amp;INT(F171/G171)</f>
        <v>1:113</v>
      </c>
      <c r="J171" t="str">
        <f>IF(H171&lt;=35,"Adequate",IF(H171&lt;=45,"Moderate","critical"))</f>
        <v>critical</v>
      </c>
    </row>
    <row r="172" spans="1:10" x14ac:dyDescent="0.3">
      <c r="A172" t="s">
        <v>147</v>
      </c>
      <c r="B172">
        <v>36208</v>
      </c>
      <c r="C172">
        <v>11255</v>
      </c>
      <c r="D172">
        <v>164</v>
      </c>
      <c r="E172">
        <v>252</v>
      </c>
      <c r="F172">
        <f>SUM(A172:C172)</f>
        <v>47463</v>
      </c>
      <c r="G172">
        <f>SUM(D172:E172)</f>
        <v>416</v>
      </c>
      <c r="H172">
        <f>F172/G172</f>
        <v>114.09375</v>
      </c>
      <c r="I172" t="str">
        <f>"1:"&amp;INT(F172/G172)</f>
        <v>1:114</v>
      </c>
      <c r="J172" t="str">
        <f>IF(H172&lt;=35,"Adequate",IF(H172&lt;=45,"Moderate","critical"))</f>
        <v>critical</v>
      </c>
    </row>
    <row r="173" spans="1:10" x14ac:dyDescent="0.3">
      <c r="A173" t="s">
        <v>173</v>
      </c>
      <c r="B173">
        <v>55827</v>
      </c>
      <c r="C173">
        <v>40716</v>
      </c>
      <c r="D173">
        <v>587</v>
      </c>
      <c r="E173">
        <v>221</v>
      </c>
      <c r="F173">
        <f>SUM(A173:C173)</f>
        <v>96543</v>
      </c>
      <c r="G173">
        <f>SUM(D173:E173)</f>
        <v>808</v>
      </c>
      <c r="H173">
        <f>F173/G173</f>
        <v>119.48391089108911</v>
      </c>
      <c r="I173" t="str">
        <f>"1:"&amp;INT(F173/G173)</f>
        <v>1:119</v>
      </c>
      <c r="J173" t="str">
        <f>IF(H173&lt;=35,"Adequate",IF(H173&lt;=45,"Moderate","critical"))</f>
        <v>critical</v>
      </c>
    </row>
    <row r="174" spans="1:10" x14ac:dyDescent="0.3">
      <c r="A174" t="s">
        <v>81</v>
      </c>
      <c r="B174">
        <v>35467</v>
      </c>
      <c r="C174">
        <v>7727</v>
      </c>
      <c r="D174">
        <v>138</v>
      </c>
      <c r="E174">
        <v>213</v>
      </c>
      <c r="F174">
        <f>SUM(A174:C174)</f>
        <v>43194</v>
      </c>
      <c r="G174">
        <f>SUM(D174:E174)</f>
        <v>351</v>
      </c>
      <c r="H174">
        <f>F174/G174</f>
        <v>123.05982905982906</v>
      </c>
      <c r="I174" t="str">
        <f>"1:"&amp;INT(F174/G174)</f>
        <v>1:123</v>
      </c>
      <c r="J174" t="str">
        <f>IF(H174&lt;=35,"Adequate",IF(H174&lt;=45,"Moderate","critical"))</f>
        <v>critical</v>
      </c>
    </row>
    <row r="175" spans="1:10" x14ac:dyDescent="0.3">
      <c r="A175" t="s">
        <v>29</v>
      </c>
      <c r="B175">
        <v>122672</v>
      </c>
      <c r="C175">
        <v>32748</v>
      </c>
      <c r="D175">
        <v>583</v>
      </c>
      <c r="E175">
        <v>635</v>
      </c>
      <c r="F175">
        <f>SUM(A175:C175)</f>
        <v>155420</v>
      </c>
      <c r="G175">
        <f>SUM(D175:E175)</f>
        <v>1218</v>
      </c>
      <c r="H175">
        <f>F175/G175</f>
        <v>127.60262725779967</v>
      </c>
      <c r="I175" t="str">
        <f>"1:"&amp;INT(F175/G175)</f>
        <v>1:127</v>
      </c>
      <c r="J175" t="str">
        <f>IF(H175&lt;=35,"Adequate",IF(H175&lt;=45,"Moderate","critical"))</f>
        <v>critical</v>
      </c>
    </row>
    <row r="176" spans="1:10" x14ac:dyDescent="0.3">
      <c r="A176" t="s">
        <v>148</v>
      </c>
      <c r="B176">
        <v>44712</v>
      </c>
      <c r="C176">
        <v>20232</v>
      </c>
      <c r="D176">
        <v>322</v>
      </c>
      <c r="E176">
        <v>181</v>
      </c>
      <c r="F176">
        <f>SUM(A176:C176)</f>
        <v>64944</v>
      </c>
      <c r="G176">
        <f>SUM(D176:E176)</f>
        <v>503</v>
      </c>
      <c r="H176">
        <f>F176/G176</f>
        <v>129.11332007952285</v>
      </c>
      <c r="I176" t="str">
        <f>"1:"&amp;INT(F176/G176)</f>
        <v>1:129</v>
      </c>
      <c r="J176" t="str">
        <f>IF(H176&lt;=35,"Adequate",IF(H176&lt;=45,"Moderate","critical"))</f>
        <v>critical</v>
      </c>
    </row>
    <row r="177" spans="1:11" x14ac:dyDescent="0.3">
      <c r="A177" t="s">
        <v>178</v>
      </c>
      <c r="B177">
        <v>53782</v>
      </c>
      <c r="C177">
        <v>12277</v>
      </c>
      <c r="D177">
        <v>181</v>
      </c>
      <c r="E177">
        <v>292</v>
      </c>
      <c r="F177">
        <f>SUM(A177:C177)</f>
        <v>66059</v>
      </c>
      <c r="G177">
        <f>SUM(D177:E177)</f>
        <v>473</v>
      </c>
      <c r="H177">
        <f>F177/G177</f>
        <v>139.65961945031714</v>
      </c>
      <c r="I177" t="str">
        <f>"1:"&amp;INT(F177/G177)</f>
        <v>1:139</v>
      </c>
      <c r="J177" t="str">
        <f>IF(H177&lt;=35,"Adequate",IF(H177&lt;=45,"Moderate","critical"))</f>
        <v>critical</v>
      </c>
    </row>
    <row r="178" spans="1:11" x14ac:dyDescent="0.3">
      <c r="A178" t="s">
        <v>98</v>
      </c>
      <c r="B178">
        <v>52498</v>
      </c>
      <c r="C178">
        <v>14421</v>
      </c>
      <c r="D178">
        <v>248</v>
      </c>
      <c r="E178">
        <v>231</v>
      </c>
      <c r="F178">
        <f>SUM(A178:C178)</f>
        <v>66919</v>
      </c>
      <c r="G178">
        <f>SUM(D178:E178)</f>
        <v>479</v>
      </c>
      <c r="H178">
        <f>F178/G178</f>
        <v>139.70563674321502</v>
      </c>
      <c r="I178" t="str">
        <f>"1:"&amp;INT(F178/G178)</f>
        <v>1:139</v>
      </c>
      <c r="J178" t="str">
        <f>IF(H178&lt;=35,"Adequate",IF(H178&lt;=45,"Moderate","critical"))</f>
        <v>critical</v>
      </c>
    </row>
    <row r="179" spans="1:11" x14ac:dyDescent="0.3">
      <c r="A179" t="s">
        <v>17</v>
      </c>
      <c r="B179">
        <v>98454</v>
      </c>
      <c r="C179">
        <v>18692</v>
      </c>
      <c r="D179">
        <v>447</v>
      </c>
      <c r="E179">
        <v>388</v>
      </c>
      <c r="F179">
        <f>SUM(A179:C179)</f>
        <v>117146</v>
      </c>
      <c r="G179">
        <f>SUM(D179:E179)</f>
        <v>835</v>
      </c>
      <c r="H179">
        <f>F179/G179</f>
        <v>140.29461077844311</v>
      </c>
      <c r="I179" t="str">
        <f>"1:"&amp;INT(F179/G179)</f>
        <v>1:140</v>
      </c>
      <c r="J179" t="str">
        <f>IF(H179&lt;=35,"Adequate",IF(H179&lt;=45,"Moderate","critical"))</f>
        <v>critical</v>
      </c>
    </row>
    <row r="180" spans="1:11" x14ac:dyDescent="0.3">
      <c r="A180" t="s">
        <v>14</v>
      </c>
      <c r="B180">
        <v>129863</v>
      </c>
      <c r="C180">
        <v>41147</v>
      </c>
      <c r="D180">
        <v>814</v>
      </c>
      <c r="E180">
        <v>346</v>
      </c>
      <c r="F180">
        <f>SUM(A180:C180)</f>
        <v>171010</v>
      </c>
      <c r="G180">
        <f>SUM(D180:E180)</f>
        <v>1160</v>
      </c>
      <c r="H180">
        <f>F180/G180</f>
        <v>147.42241379310346</v>
      </c>
      <c r="I180" t="str">
        <f>"1:"&amp;INT(F180/G180)</f>
        <v>1:147</v>
      </c>
      <c r="J180" t="str">
        <f>IF(H180&lt;=35,"Adequate",IF(H180&lt;=45,"Moderate","critical"))</f>
        <v>critical</v>
      </c>
    </row>
    <row r="181" spans="1:11" x14ac:dyDescent="0.3">
      <c r="A181" t="s">
        <v>44</v>
      </c>
      <c r="B181">
        <v>67846</v>
      </c>
      <c r="C181">
        <v>19907</v>
      </c>
      <c r="D181">
        <v>336</v>
      </c>
      <c r="E181">
        <v>252</v>
      </c>
      <c r="F181">
        <f>SUM(A181:C181)</f>
        <v>87753</v>
      </c>
      <c r="G181">
        <f>SUM(D181:E181)</f>
        <v>588</v>
      </c>
      <c r="H181">
        <f>F181/G181</f>
        <v>149.23979591836735</v>
      </c>
      <c r="I181" t="str">
        <f>"1:"&amp;INT(F181/G181)</f>
        <v>1:149</v>
      </c>
      <c r="J181" t="str">
        <f>IF(H181&lt;=35,"Adequate",IF(H181&lt;=45,"Moderate","critical"))</f>
        <v>critical</v>
      </c>
    </row>
    <row r="182" spans="1:11" x14ac:dyDescent="0.3">
      <c r="A182" t="s">
        <v>168</v>
      </c>
      <c r="B182">
        <v>51815</v>
      </c>
      <c r="C182">
        <v>11466</v>
      </c>
      <c r="D182">
        <v>170</v>
      </c>
      <c r="E182">
        <v>254</v>
      </c>
      <c r="F182">
        <f>SUM(A182:C182)</f>
        <v>63281</v>
      </c>
      <c r="G182">
        <f>SUM(D182:E182)</f>
        <v>424</v>
      </c>
      <c r="H182">
        <f>F182/G182</f>
        <v>149.24764150943398</v>
      </c>
      <c r="I182" t="str">
        <f>"1:"&amp;INT(F182/G182)</f>
        <v>1:149</v>
      </c>
      <c r="J182" t="str">
        <f>IF(H182&lt;=35,"Adequate",IF(H182&lt;=45,"Moderate","critical"))</f>
        <v>critical</v>
      </c>
    </row>
    <row r="183" spans="1:11" x14ac:dyDescent="0.3">
      <c r="A183" t="s">
        <v>157</v>
      </c>
      <c r="B183">
        <v>43937</v>
      </c>
      <c r="C183">
        <v>17264</v>
      </c>
      <c r="D183">
        <v>264</v>
      </c>
      <c r="E183">
        <v>138</v>
      </c>
      <c r="F183">
        <f>SUM(A183:C183)</f>
        <v>61201</v>
      </c>
      <c r="G183">
        <f>SUM(D183:E183)</f>
        <v>402</v>
      </c>
      <c r="H183">
        <f>F183/G183</f>
        <v>152.24129353233832</v>
      </c>
      <c r="I183" t="str">
        <f>"1:"&amp;INT(F183/G183)</f>
        <v>1:152</v>
      </c>
      <c r="J183" t="str">
        <f>IF(H183&lt;=35,"Adequate",IF(H183&lt;=45,"Moderate","critical"))</f>
        <v>critical</v>
      </c>
    </row>
    <row r="184" spans="1:11" x14ac:dyDescent="0.3">
      <c r="A184" t="s">
        <v>117</v>
      </c>
      <c r="B184">
        <v>50992</v>
      </c>
      <c r="C184">
        <v>9904</v>
      </c>
      <c r="D184">
        <v>172</v>
      </c>
      <c r="E184">
        <v>164</v>
      </c>
      <c r="F184">
        <f>SUM(A184:C184)</f>
        <v>60896</v>
      </c>
      <c r="G184">
        <f>SUM(D184:E184)</f>
        <v>336</v>
      </c>
      <c r="H184">
        <f>F184/G184</f>
        <v>181.23809523809524</v>
      </c>
      <c r="I184" t="str">
        <f>"1:"&amp;INT(F184/G184)</f>
        <v>1:181</v>
      </c>
      <c r="J184" t="str">
        <f>IF(H184&lt;=35,"Adequate",IF(H184&lt;=45,"Moderate","critical"))</f>
        <v>critical</v>
      </c>
    </row>
    <row r="185" spans="1:11" x14ac:dyDescent="0.3">
      <c r="A185" t="s">
        <v>33</v>
      </c>
      <c r="B185">
        <v>33572</v>
      </c>
      <c r="C185">
        <v>7982</v>
      </c>
      <c r="D185">
        <v>151</v>
      </c>
      <c r="E185">
        <v>39</v>
      </c>
      <c r="F185">
        <f>SUM(A185:C185)</f>
        <v>41554</v>
      </c>
      <c r="G185">
        <f>SUM(D185:E185)</f>
        <v>190</v>
      </c>
      <c r="H185">
        <f>F185/G185</f>
        <v>218.70526315789473</v>
      </c>
      <c r="I185" t="str">
        <f>"1:"&amp;INT(F185/G185)</f>
        <v>1:218</v>
      </c>
      <c r="J185" t="str">
        <f>IF(H185&lt;=35,"Adequate",IF(H185&lt;=45,"Moderate","critical"))</f>
        <v>critical</v>
      </c>
    </row>
    <row r="186" spans="1:11" x14ac:dyDescent="0.3">
      <c r="A186" t="s">
        <v>8</v>
      </c>
      <c r="B186">
        <v>50163</v>
      </c>
      <c r="C186" t="s">
        <v>4</v>
      </c>
      <c r="D186" t="s">
        <v>5</v>
      </c>
      <c r="E186" t="s">
        <v>6</v>
      </c>
      <c r="F186" t="s">
        <v>192</v>
      </c>
      <c r="G186" t="s">
        <v>194</v>
      </c>
      <c r="H186" t="s">
        <v>195</v>
      </c>
      <c r="I186" t="s">
        <v>198</v>
      </c>
      <c r="J186" t="s">
        <v>200</v>
      </c>
    </row>
    <row r="187" spans="1:11" x14ac:dyDescent="0.3">
      <c r="A187" t="s">
        <v>205</v>
      </c>
      <c r="K187">
        <f>SUBTOTAL(109,Table1[Column3])</f>
        <v>1020</v>
      </c>
    </row>
  </sheetData>
  <sortState xmlns:xlrd2="http://schemas.microsoft.com/office/spreadsheetml/2017/richdata2" ref="A1:B186">
    <sortCondition ref="A1:A186"/>
  </sortState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2025-12-12T08:30:12Z</dcterms:created>
  <dcterms:modified xsi:type="dcterms:W3CDTF">2026-01-11T14:13:21Z</dcterms:modified>
</cp:coreProperties>
</file>